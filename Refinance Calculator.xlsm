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D:\MDA\Course\T4\ACCT-621-901-Accounting Analytics\Project\"/>
    </mc:Choice>
  </mc:AlternateContent>
  <xr:revisionPtr revIDLastSave="0" documentId="13_ncr:1_{DC418BCE-2FC8-4617-9FA3-016F777B1883}" xr6:coauthVersionLast="47" xr6:coauthVersionMax="47" xr10:uidLastSave="{00000000-0000-0000-0000-000000000000}"/>
  <bookViews>
    <workbookView xWindow="-108" yWindow="-108" windowWidth="23256" windowHeight="12456" firstSheet="1" activeTab="1" xr2:uid="{00000000-000D-0000-FFFF-FFFF00000000}"/>
  </bookViews>
  <sheets>
    <sheet name="Internal Working" sheetId="6" state="hidden" r:id="rId1"/>
    <sheet name="Refinance_Calculator" sheetId="1" r:id="rId2"/>
    <sheet name="Full_Report" sheetId="2" r:id="rId3"/>
    <sheet name="Comments and Remarks" sheetId="3" r:id="rId4"/>
  </sheets>
  <definedNames>
    <definedName name="_xlnm.Print_Area" localSheetId="1">Refinance_Calculator!$A$1:$O$50</definedName>
  </definedNames>
  <calcPr calcId="191029"/>
  <pivotCaches>
    <pivotCache cacheId="0" r:id="rId5"/>
    <pivotCache cacheId="1" r:id="rId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4" i="2" l="1"/>
  <c r="G22" i="2"/>
  <c r="G20" i="2"/>
  <c r="G18" i="2"/>
  <c r="G16" i="2"/>
  <c r="G12" i="2"/>
  <c r="G10" i="2"/>
  <c r="G8" i="2"/>
  <c r="G6" i="2"/>
  <c r="Z25" i="1"/>
  <c r="R21" i="1"/>
  <c r="Z24" i="1"/>
  <c r="W38" i="1"/>
  <c r="W39" i="1" s="1"/>
  <c r="W40" i="1" s="1"/>
  <c r="W41" i="1" s="1"/>
  <c r="W42" i="1" s="1"/>
  <c r="W43" i="1" s="1"/>
  <c r="W44" i="1" s="1"/>
  <c r="W51" i="1" s="1"/>
  <c r="W52" i="1" s="1"/>
  <c r="W53" i="1" s="1"/>
  <c r="W55" i="1"/>
  <c r="W56" i="1" s="1"/>
  <c r="W57" i="1" s="1"/>
  <c r="W58" i="1" s="1"/>
  <c r="W59" i="1" s="1"/>
  <c r="W60" i="1" s="1"/>
  <c r="W61" i="1" s="1"/>
  <c r="W62" i="1" s="1"/>
  <c r="W63" i="1" s="1"/>
  <c r="W64" i="1" s="1"/>
  <c r="W65" i="1" s="1"/>
  <c r="U25" i="1"/>
  <c r="U26" i="1" s="1"/>
  <c r="U27" i="1" s="1"/>
  <c r="U28" i="1" s="1"/>
  <c r="U29" i="1" s="1"/>
  <c r="U30" i="1" s="1"/>
  <c r="U31" i="1" s="1"/>
  <c r="U32" i="1" s="1"/>
  <c r="U33" i="1" s="1"/>
  <c r="U34" i="1" s="1"/>
  <c r="U35" i="1" s="1"/>
  <c r="U36" i="1" s="1"/>
  <c r="U37" i="1" s="1"/>
  <c r="U38" i="1" s="1"/>
  <c r="U39" i="1" s="1"/>
  <c r="U40" i="1" s="1"/>
  <c r="U41" i="1" s="1"/>
  <c r="U42" i="1" s="1"/>
  <c r="U43" i="1" s="1"/>
  <c r="U44" i="1" s="1"/>
  <c r="U51" i="1" s="1"/>
  <c r="U52" i="1" s="1"/>
  <c r="U53" i="1" s="1"/>
  <c r="U54" i="1" s="1"/>
  <c r="U55" i="1" s="1"/>
  <c r="U56" i="1" s="1"/>
  <c r="U57" i="1" s="1"/>
  <c r="U58" i="1" s="1"/>
  <c r="U59" i="1" s="1"/>
  <c r="U60" i="1" s="1"/>
  <c r="U61" i="1" s="1"/>
  <c r="U62" i="1" s="1"/>
  <c r="U63" i="1" s="1"/>
  <c r="U64" i="1" s="1"/>
  <c r="U65" i="1" s="1"/>
  <c r="V2" i="1"/>
  <c r="V3" i="1" s="1"/>
  <c r="V4" i="1" s="1"/>
  <c r="V5" i="1" s="1"/>
  <c r="V6" i="1" s="1"/>
  <c r="V8" i="1" s="1"/>
  <c r="V9" i="1" s="1"/>
  <c r="V10" i="1" s="1"/>
  <c r="V11" i="1" s="1"/>
  <c r="V12" i="1" s="1"/>
  <c r="V13" i="1" s="1"/>
  <c r="V14" i="1" s="1"/>
  <c r="V15" i="1" s="1"/>
  <c r="V16" i="1" s="1"/>
  <c r="V17" i="1" s="1"/>
  <c r="V18" i="1" s="1"/>
  <c r="V19" i="1" s="1"/>
  <c r="V20" i="1" s="1"/>
  <c r="V21" i="1" s="1"/>
  <c r="V22" i="1" s="1"/>
  <c r="V23" i="1" s="1"/>
  <c r="V24" i="1" s="1"/>
  <c r="V25" i="1" s="1"/>
  <c r="V26" i="1" s="1"/>
  <c r="V27" i="1" s="1"/>
  <c r="V28" i="1" s="1"/>
  <c r="V29" i="1" s="1"/>
  <c r="V30" i="1" s="1"/>
  <c r="V31" i="1" s="1"/>
  <c r="V32" i="1" s="1"/>
  <c r="V33" i="1" s="1"/>
  <c r="V34" i="1" s="1"/>
  <c r="V35" i="1" s="1"/>
  <c r="V36" i="1" s="1"/>
  <c r="V37" i="1" s="1"/>
  <c r="W27" i="1"/>
  <c r="W28" i="1" s="1"/>
  <c r="W29" i="1" s="1"/>
  <c r="W30" i="1" s="1"/>
  <c r="W31" i="1" s="1"/>
  <c r="W32" i="1" s="1"/>
  <c r="W33" i="1" s="1"/>
  <c r="W34" i="1" s="1"/>
  <c r="W35" i="1" s="1"/>
  <c r="W36" i="1" s="1"/>
  <c r="W37" i="1" s="1"/>
  <c r="W15" i="1"/>
  <c r="W16" i="1" s="1"/>
  <c r="W17" i="1" s="1"/>
  <c r="W18" i="1" s="1"/>
  <c r="W19" i="1" s="1"/>
  <c r="W20" i="1" s="1"/>
  <c r="W21" i="1" s="1"/>
  <c r="W22" i="1" s="1"/>
  <c r="W23" i="1" s="1"/>
  <c r="W24" i="1" s="1"/>
  <c r="W25" i="1" s="1"/>
  <c r="W2" i="1"/>
  <c r="W3" i="1" s="1"/>
  <c r="W4" i="1" s="1"/>
  <c r="W5" i="1" s="1"/>
  <c r="W6" i="1" s="1"/>
  <c r="W8" i="1" s="1"/>
  <c r="W9" i="1" s="1"/>
  <c r="W10" i="1" s="1"/>
  <c r="W11" i="1" s="1"/>
  <c r="W12" i="1" s="1"/>
  <c r="W13" i="1" s="1"/>
  <c r="M9" i="1"/>
  <c r="R33" i="1" s="1"/>
  <c r="R8" i="1"/>
  <c r="R4" i="1"/>
  <c r="E6" i="6"/>
  <c r="G6" i="6" s="1"/>
  <c r="C6" i="6"/>
  <c r="B6" i="6"/>
  <c r="R29" i="1"/>
  <c r="R6" i="1"/>
  <c r="R19" i="1" s="1"/>
  <c r="R32" i="1"/>
  <c r="M12" i="1"/>
  <c r="B86" i="2"/>
  <c r="C86" i="2" s="1"/>
  <c r="M10" i="1" s="1"/>
  <c r="M8" i="1" l="1"/>
  <c r="G2" i="2" s="1"/>
  <c r="AA24" i="1"/>
  <c r="V38" i="1"/>
  <c r="V39" i="1" s="1"/>
  <c r="V40" i="1" s="1"/>
  <c r="V41" i="1" s="1"/>
  <c r="V42" i="1" s="1"/>
  <c r="V43" i="1" s="1"/>
  <c r="V44" i="1" s="1"/>
  <c r="V51" i="1" s="1"/>
  <c r="V52" i="1" s="1"/>
  <c r="V53" i="1" s="1"/>
  <c r="V54" i="1" s="1"/>
  <c r="V55" i="1" s="1"/>
  <c r="V56" i="1" s="1"/>
  <c r="V57" i="1" s="1"/>
  <c r="V58" i="1" s="1"/>
  <c r="V59" i="1" s="1"/>
  <c r="V60" i="1" s="1"/>
  <c r="V61" i="1" s="1"/>
  <c r="V62" i="1" s="1"/>
  <c r="V63" i="1" s="1"/>
  <c r="V64" i="1" s="1"/>
  <c r="V65" i="1" s="1"/>
  <c r="R12" i="1"/>
  <c r="R5" i="1"/>
  <c r="R9" i="1" s="1"/>
  <c r="F6" i="6"/>
  <c r="D6" i="6"/>
  <c r="H6" i="6" s="1"/>
  <c r="E86" i="2"/>
  <c r="R30" i="1"/>
  <c r="R20" i="1"/>
  <c r="R22" i="1" s="1"/>
  <c r="R23" i="1" l="1"/>
  <c r="R25" i="1" s="1"/>
  <c r="M11" i="1"/>
  <c r="F9" i="1"/>
  <c r="R13" i="1"/>
  <c r="R14" i="1" s="1"/>
  <c r="A7" i="6"/>
  <c r="E7" i="6" s="1"/>
  <c r="F86" i="2"/>
  <c r="A87" i="2" s="1"/>
  <c r="B87" i="2" s="1"/>
  <c r="G86" i="2"/>
  <c r="D86" i="2"/>
  <c r="H86" i="2" s="1"/>
  <c r="C7" i="6" l="1"/>
  <c r="D7" i="6" s="1"/>
  <c r="H7" i="6" s="1"/>
  <c r="B7" i="6"/>
  <c r="F7" i="6" s="1"/>
  <c r="A8" i="6" s="1"/>
  <c r="G7" i="6"/>
  <c r="E87" i="2"/>
  <c r="G87" i="2" s="1"/>
  <c r="C87" i="2"/>
  <c r="R26" i="1"/>
  <c r="L2" i="6" l="1"/>
  <c r="B8" i="6"/>
  <c r="E8" i="6"/>
  <c r="G8" i="6" s="1"/>
  <c r="C8" i="6"/>
  <c r="F87" i="2"/>
  <c r="A88" i="2" s="1"/>
  <c r="E88" i="2" s="1"/>
  <c r="G88" i="2" s="1"/>
  <c r="D87" i="2"/>
  <c r="H87" i="2" s="1"/>
  <c r="K7" i="6" l="1"/>
  <c r="K8" i="6"/>
  <c r="K6" i="6"/>
  <c r="L1" i="6"/>
  <c r="I6" i="6"/>
  <c r="I7" i="6"/>
  <c r="F8" i="6"/>
  <c r="A9" i="6" s="1"/>
  <c r="K9" i="6" s="1"/>
  <c r="D8" i="6"/>
  <c r="H8" i="6" s="1"/>
  <c r="C88" i="2"/>
  <c r="I8" i="6" s="1"/>
  <c r="B88" i="2"/>
  <c r="F88" i="2" s="1"/>
  <c r="A89" i="2" s="1"/>
  <c r="M1" i="6" l="1"/>
  <c r="M13" i="1" s="1"/>
  <c r="J6" i="6"/>
  <c r="L6" i="6" s="1"/>
  <c r="D88" i="2"/>
  <c r="H88" i="2" s="1"/>
  <c r="E9" i="6"/>
  <c r="G9" i="6" s="1"/>
  <c r="C9" i="6"/>
  <c r="B9" i="6"/>
  <c r="E89" i="2"/>
  <c r="G89" i="2" s="1"/>
  <c r="B89" i="2"/>
  <c r="C89" i="2"/>
  <c r="J7" i="6" l="1"/>
  <c r="L7" i="6" s="1"/>
  <c r="I9" i="6"/>
  <c r="F9" i="6"/>
  <c r="A10" i="6" s="1"/>
  <c r="K10" i="6" s="1"/>
  <c r="D9" i="6"/>
  <c r="H9" i="6" s="1"/>
  <c r="F89" i="2"/>
  <c r="A90" i="2" s="1"/>
  <c r="D89" i="2"/>
  <c r="H89" i="2" s="1"/>
  <c r="J8" i="6" l="1"/>
  <c r="L8" i="6" s="1"/>
  <c r="B10" i="6"/>
  <c r="C10" i="6"/>
  <c r="E10" i="6"/>
  <c r="G10" i="6" s="1"/>
  <c r="E90" i="2"/>
  <c r="G90" i="2" s="1"/>
  <c r="B90" i="2"/>
  <c r="C90" i="2"/>
  <c r="J9" i="6" l="1"/>
  <c r="L9" i="6" s="1"/>
  <c r="I10" i="6"/>
  <c r="F10" i="6"/>
  <c r="A11" i="6" s="1"/>
  <c r="K11" i="6" s="1"/>
  <c r="D10" i="6"/>
  <c r="H10" i="6" s="1"/>
  <c r="D90" i="2"/>
  <c r="H90" i="2" s="1"/>
  <c r="F90" i="2"/>
  <c r="A91" i="2" s="1"/>
  <c r="J10" i="6" l="1"/>
  <c r="L10" i="6" s="1"/>
  <c r="E11" i="6"/>
  <c r="G11" i="6" s="1"/>
  <c r="C11" i="6"/>
  <c r="B11" i="6"/>
  <c r="E91" i="2"/>
  <c r="G91" i="2" s="1"/>
  <c r="B91" i="2"/>
  <c r="C91" i="2"/>
  <c r="I11" i="6" l="1"/>
  <c r="F11" i="6"/>
  <c r="D11" i="6"/>
  <c r="H11" i="6" s="1"/>
  <c r="D91" i="2"/>
  <c r="H91" i="2" s="1"/>
  <c r="F91" i="2"/>
  <c r="A92" i="2" s="1"/>
  <c r="J11" i="6" l="1"/>
  <c r="L11" i="6" s="1"/>
  <c r="A12" i="6"/>
  <c r="K12" i="6" s="1"/>
  <c r="E92" i="2"/>
  <c r="G92" i="2" s="1"/>
  <c r="B92" i="2"/>
  <c r="C92" i="2"/>
  <c r="E12" i="6" l="1"/>
  <c r="G12" i="6" s="1"/>
  <c r="C12" i="6"/>
  <c r="I12" i="6" s="1"/>
  <c r="B12" i="6"/>
  <c r="D92" i="2"/>
  <c r="H92" i="2" s="1"/>
  <c r="F92" i="2"/>
  <c r="A93" i="2" s="1"/>
  <c r="J12" i="6" l="1"/>
  <c r="L12" i="6" s="1"/>
  <c r="D12" i="6"/>
  <c r="H12" i="6" s="1"/>
  <c r="F12" i="6"/>
  <c r="A13" i="6" s="1"/>
  <c r="K13" i="6" s="1"/>
  <c r="E93" i="2"/>
  <c r="G93" i="2" s="1"/>
  <c r="B93" i="2"/>
  <c r="C93" i="2"/>
  <c r="E13" i="6" l="1"/>
  <c r="G13" i="6" s="1"/>
  <c r="B13" i="6"/>
  <c r="C13" i="6"/>
  <c r="I13" i="6" s="1"/>
  <c r="D93" i="2"/>
  <c r="H93" i="2" s="1"/>
  <c r="F93" i="2"/>
  <c r="A94" i="2" s="1"/>
  <c r="J13" i="6" l="1"/>
  <c r="L13" i="6" s="1"/>
  <c r="D13" i="6"/>
  <c r="H13" i="6" s="1"/>
  <c r="F13" i="6"/>
  <c r="A14" i="6" s="1"/>
  <c r="K14" i="6" s="1"/>
  <c r="E94" i="2"/>
  <c r="G94" i="2" s="1"/>
  <c r="B94" i="2"/>
  <c r="C94" i="2"/>
  <c r="E14" i="6" l="1"/>
  <c r="G14" i="6" s="1"/>
  <c r="C14" i="6"/>
  <c r="B14" i="6"/>
  <c r="F94" i="2"/>
  <c r="A95" i="2" s="1"/>
  <c r="D94" i="2"/>
  <c r="H94" i="2" s="1"/>
  <c r="D14" i="6" l="1"/>
  <c r="H14" i="6" s="1"/>
  <c r="I14" i="6"/>
  <c r="F14" i="6"/>
  <c r="A15" i="6" s="1"/>
  <c r="K15" i="6" s="1"/>
  <c r="E95" i="2"/>
  <c r="G95" i="2" s="1"/>
  <c r="B95" i="2"/>
  <c r="C95" i="2"/>
  <c r="J14" i="6" l="1"/>
  <c r="L14" i="6" s="1"/>
  <c r="B15" i="6"/>
  <c r="C15" i="6"/>
  <c r="I15" i="6" s="1"/>
  <c r="E15" i="6"/>
  <c r="G15" i="6" s="1"/>
  <c r="F95" i="2"/>
  <c r="A96" i="2" s="1"/>
  <c r="D95" i="2"/>
  <c r="H95" i="2" s="1"/>
  <c r="J15" i="6" l="1"/>
  <c r="L15" i="6" s="1"/>
  <c r="F15" i="6"/>
  <c r="A16" i="6" s="1"/>
  <c r="K16" i="6" s="1"/>
  <c r="D15" i="6"/>
  <c r="H15" i="6" s="1"/>
  <c r="E96" i="2"/>
  <c r="G96" i="2" s="1"/>
  <c r="B96" i="2"/>
  <c r="C96" i="2"/>
  <c r="C16" i="6" l="1"/>
  <c r="I16" i="6" s="1"/>
  <c r="E16" i="6"/>
  <c r="G16" i="6" s="1"/>
  <c r="B16" i="6"/>
  <c r="D96" i="2"/>
  <c r="H96" i="2" s="1"/>
  <c r="F96" i="2"/>
  <c r="A97" i="2" s="1"/>
  <c r="J16" i="6" l="1"/>
  <c r="L16" i="6" s="1"/>
  <c r="D16" i="6"/>
  <c r="H16" i="6" s="1"/>
  <c r="F16" i="6"/>
  <c r="A17" i="6" s="1"/>
  <c r="K17" i="6" s="1"/>
  <c r="E97" i="2"/>
  <c r="G97" i="2" s="1"/>
  <c r="B97" i="2"/>
  <c r="C97" i="2"/>
  <c r="E17" i="6" l="1"/>
  <c r="G17" i="6" s="1"/>
  <c r="B17" i="6"/>
  <c r="C17" i="6"/>
  <c r="D97" i="2"/>
  <c r="H97" i="2" s="1"/>
  <c r="F97" i="2"/>
  <c r="A98" i="2" s="1"/>
  <c r="B98" i="2" s="1"/>
  <c r="D17" i="6" l="1"/>
  <c r="H17" i="6" s="1"/>
  <c r="F17" i="6"/>
  <c r="A18" i="6" s="1"/>
  <c r="K18" i="6" s="1"/>
  <c r="I17" i="6"/>
  <c r="C98" i="2"/>
  <c r="E98" i="2"/>
  <c r="F98" i="2" s="1"/>
  <c r="A99" i="2" s="1"/>
  <c r="B99" i="2" s="1"/>
  <c r="J17" i="6" l="1"/>
  <c r="L17" i="6" s="1"/>
  <c r="E18" i="6"/>
  <c r="G18" i="6" s="1"/>
  <c r="B18" i="6"/>
  <c r="C18" i="6"/>
  <c r="G98" i="2"/>
  <c r="C99" i="2"/>
  <c r="E99" i="2"/>
  <c r="F99" i="2" s="1"/>
  <c r="A100" i="2" s="1"/>
  <c r="D98" i="2"/>
  <c r="H98" i="2" s="1"/>
  <c r="D18" i="6" l="1"/>
  <c r="H18" i="6" s="1"/>
  <c r="F18" i="6"/>
  <c r="A19" i="6" s="1"/>
  <c r="K19" i="6" s="1"/>
  <c r="I18" i="6"/>
  <c r="G99" i="2"/>
  <c r="C100" i="2"/>
  <c r="E100" i="2"/>
  <c r="B100" i="2"/>
  <c r="D99" i="2"/>
  <c r="H99" i="2" s="1"/>
  <c r="E19" i="6" l="1"/>
  <c r="G19" i="6" s="1"/>
  <c r="B19" i="6"/>
  <c r="C19" i="6"/>
  <c r="I19" i="6" s="1"/>
  <c r="J18" i="6"/>
  <c r="L18" i="6" s="1"/>
  <c r="G100" i="2"/>
  <c r="D100" i="2"/>
  <c r="H100" i="2" s="1"/>
  <c r="F100" i="2"/>
  <c r="A101" i="2" s="1"/>
  <c r="F19" i="6" l="1"/>
  <c r="A20" i="6" s="1"/>
  <c r="K20" i="6" s="1"/>
  <c r="D19" i="6"/>
  <c r="H19" i="6" s="1"/>
  <c r="J19" i="6"/>
  <c r="L19" i="6" s="1"/>
  <c r="B101" i="2"/>
  <c r="E101" i="2"/>
  <c r="G101" i="2" s="1"/>
  <c r="C101" i="2"/>
  <c r="B20" i="6" l="1"/>
  <c r="E20" i="6"/>
  <c r="G20" i="6" s="1"/>
  <c r="C20" i="6"/>
  <c r="I20" i="6" s="1"/>
  <c r="J20" i="6" s="1"/>
  <c r="L20" i="6" s="1"/>
  <c r="F101" i="2"/>
  <c r="A102" i="2" s="1"/>
  <c r="E102" i="2" s="1"/>
  <c r="D101" i="2"/>
  <c r="H101" i="2" s="1"/>
  <c r="F20" i="6" l="1"/>
  <c r="A21" i="6" s="1"/>
  <c r="K21" i="6" s="1"/>
  <c r="D20" i="6"/>
  <c r="H20" i="6" s="1"/>
  <c r="G102" i="2"/>
  <c r="C102" i="2"/>
  <c r="B102" i="2"/>
  <c r="F102" i="2" s="1"/>
  <c r="A103" i="2" s="1"/>
  <c r="C21" i="6" l="1"/>
  <c r="I21" i="6" s="1"/>
  <c r="J21" i="6" s="1"/>
  <c r="L21" i="6" s="1"/>
  <c r="E21" i="6"/>
  <c r="G21" i="6" s="1"/>
  <c r="B21" i="6"/>
  <c r="D102" i="2"/>
  <c r="H102" i="2" s="1"/>
  <c r="E103" i="2"/>
  <c r="G103" i="2" s="1"/>
  <c r="C103" i="2"/>
  <c r="B103" i="2"/>
  <c r="D21" i="6" l="1"/>
  <c r="H21" i="6" s="1"/>
  <c r="F21" i="6"/>
  <c r="A22" i="6" s="1"/>
  <c r="K22" i="6" s="1"/>
  <c r="D103" i="2"/>
  <c r="H103" i="2" s="1"/>
  <c r="F103" i="2"/>
  <c r="A104" i="2" s="1"/>
  <c r="E104" i="2" s="1"/>
  <c r="B22" i="6" l="1"/>
  <c r="C22" i="6"/>
  <c r="I22" i="6" s="1"/>
  <c r="J22" i="6" s="1"/>
  <c r="L22" i="6" s="1"/>
  <c r="E22" i="6"/>
  <c r="G22" i="6" s="1"/>
  <c r="C104" i="2"/>
  <c r="B104" i="2"/>
  <c r="F104" i="2" s="1"/>
  <c r="A105" i="2" s="1"/>
  <c r="E105" i="2" s="1"/>
  <c r="G104" i="2"/>
  <c r="D22" i="6" l="1"/>
  <c r="H22" i="6" s="1"/>
  <c r="F22" i="6"/>
  <c r="A23" i="6" s="1"/>
  <c r="D104" i="2"/>
  <c r="H104" i="2" s="1"/>
  <c r="C105" i="2"/>
  <c r="B105" i="2"/>
  <c r="F105" i="2" s="1"/>
  <c r="A106" i="2" s="1"/>
  <c r="E106" i="2" s="1"/>
  <c r="G105" i="2"/>
  <c r="K23" i="6" l="1"/>
  <c r="C23" i="6"/>
  <c r="E23" i="6"/>
  <c r="G23" i="6" s="1"/>
  <c r="B23" i="6"/>
  <c r="D105" i="2"/>
  <c r="H105" i="2" s="1"/>
  <c r="C106" i="2"/>
  <c r="B106" i="2"/>
  <c r="F106" i="2" s="1"/>
  <c r="A107" i="2" s="1"/>
  <c r="C107" i="2" s="1"/>
  <c r="G106" i="2"/>
  <c r="F23" i="6" l="1"/>
  <c r="A24" i="6" s="1"/>
  <c r="K24" i="6" s="1"/>
  <c r="I23" i="6"/>
  <c r="J23" i="6" s="1"/>
  <c r="L23" i="6" s="1"/>
  <c r="D23" i="6"/>
  <c r="H23" i="6" s="1"/>
  <c r="D106" i="2"/>
  <c r="H106" i="2" s="1"/>
  <c r="B107" i="2"/>
  <c r="E107" i="2"/>
  <c r="G107" i="2" s="1"/>
  <c r="B24" i="6" l="1"/>
  <c r="E24" i="6"/>
  <c r="G24" i="6" s="1"/>
  <c r="C24" i="6"/>
  <c r="I24" i="6" s="1"/>
  <c r="J24" i="6" s="1"/>
  <c r="L24" i="6" s="1"/>
  <c r="D107" i="2"/>
  <c r="H107" i="2" s="1"/>
  <c r="F107" i="2"/>
  <c r="A108" i="2" s="1"/>
  <c r="B108" i="2" s="1"/>
  <c r="F24" i="6" l="1"/>
  <c r="A25" i="6" s="1"/>
  <c r="D24" i="6"/>
  <c r="H24" i="6" s="1"/>
  <c r="E108" i="2"/>
  <c r="F108" i="2" s="1"/>
  <c r="A109" i="2" s="1"/>
  <c r="E109" i="2" s="1"/>
  <c r="C108" i="2"/>
  <c r="K25" i="6" l="1"/>
  <c r="C25" i="6"/>
  <c r="B25" i="6"/>
  <c r="E25" i="6"/>
  <c r="G25" i="6" s="1"/>
  <c r="D108" i="2"/>
  <c r="H108" i="2" s="1"/>
  <c r="C109" i="2"/>
  <c r="G108" i="2"/>
  <c r="G109" i="2" s="1"/>
  <c r="B109" i="2"/>
  <c r="F109" i="2" s="1"/>
  <c r="A110" i="2" s="1"/>
  <c r="C110" i="2" s="1"/>
  <c r="I25" i="6" l="1"/>
  <c r="J25" i="6" s="1"/>
  <c r="L25" i="6" s="1"/>
  <c r="D25" i="6"/>
  <c r="H25" i="6" s="1"/>
  <c r="F25" i="6"/>
  <c r="A26" i="6" s="1"/>
  <c r="D109" i="2"/>
  <c r="H109" i="2" s="1"/>
  <c r="E110" i="2"/>
  <c r="D110" i="2" s="1"/>
  <c r="B110" i="2"/>
  <c r="C26" i="6" l="1"/>
  <c r="K26" i="6" s="1"/>
  <c r="E26" i="6"/>
  <c r="G26" i="6" s="1"/>
  <c r="B26" i="6"/>
  <c r="I26" i="6"/>
  <c r="J26" i="6" s="1"/>
  <c r="H110" i="2"/>
  <c r="F110" i="2"/>
  <c r="A111" i="2" s="1"/>
  <c r="B111" i="2" s="1"/>
  <c r="G110" i="2"/>
  <c r="D26" i="6" l="1"/>
  <c r="H26" i="6" s="1"/>
  <c r="F26" i="6"/>
  <c r="A27" i="6" s="1"/>
  <c r="L26" i="6"/>
  <c r="C111" i="2"/>
  <c r="E111" i="2"/>
  <c r="G111" i="2" s="1"/>
  <c r="B27" i="6" l="1"/>
  <c r="C27" i="6"/>
  <c r="I27" i="6" s="1"/>
  <c r="J27" i="6" s="1"/>
  <c r="E27" i="6"/>
  <c r="F111" i="2"/>
  <c r="A112" i="2" s="1"/>
  <c r="B112" i="2" s="1"/>
  <c r="D111" i="2"/>
  <c r="H111" i="2" s="1"/>
  <c r="G27" i="6" l="1"/>
  <c r="F27" i="6"/>
  <c r="A28" i="6" s="1"/>
  <c r="K27" i="6"/>
  <c r="L27" i="6" s="1"/>
  <c r="D27" i="6"/>
  <c r="H27" i="6" s="1"/>
  <c r="C112" i="2"/>
  <c r="E112" i="2"/>
  <c r="F112" i="2" s="1"/>
  <c r="A113" i="2" s="1"/>
  <c r="C113" i="2" s="1"/>
  <c r="C28" i="6" l="1"/>
  <c r="I28" i="6" s="1"/>
  <c r="J28" i="6" s="1"/>
  <c r="B28" i="6"/>
  <c r="E28" i="6"/>
  <c r="G28" i="6" s="1"/>
  <c r="G112" i="2"/>
  <c r="E113" i="2"/>
  <c r="D113" i="2" s="1"/>
  <c r="B113" i="2"/>
  <c r="D112" i="2"/>
  <c r="H112" i="2" s="1"/>
  <c r="F28" i="6" l="1"/>
  <c r="A29" i="6" s="1"/>
  <c r="K28" i="6"/>
  <c r="L28" i="6" s="1"/>
  <c r="D28" i="6"/>
  <c r="H28" i="6" s="1"/>
  <c r="G113" i="2"/>
  <c r="H113" i="2"/>
  <c r="F113" i="2"/>
  <c r="A114" i="2" s="1"/>
  <c r="C114" i="2" s="1"/>
  <c r="E29" i="6" l="1"/>
  <c r="G29" i="6" s="1"/>
  <c r="B29" i="6"/>
  <c r="C29" i="6"/>
  <c r="I29" i="6" s="1"/>
  <c r="J29" i="6" s="1"/>
  <c r="B114" i="2"/>
  <c r="E114" i="2"/>
  <c r="K29" i="6" l="1"/>
  <c r="L29" i="6" s="1"/>
  <c r="D29" i="6"/>
  <c r="H29" i="6" s="1"/>
  <c r="F29" i="6"/>
  <c r="A30" i="6" s="1"/>
  <c r="F114" i="2"/>
  <c r="A115" i="2" s="1"/>
  <c r="E115" i="2" s="1"/>
  <c r="G114" i="2"/>
  <c r="D114" i="2"/>
  <c r="H114" i="2" s="1"/>
  <c r="C30" i="6" l="1"/>
  <c r="K30" i="6" s="1"/>
  <c r="B30" i="6"/>
  <c r="E30" i="6"/>
  <c r="G30" i="6" s="1"/>
  <c r="G115" i="2"/>
  <c r="B115" i="2"/>
  <c r="C115" i="2"/>
  <c r="D115" i="2" s="1"/>
  <c r="I30" i="6" l="1"/>
  <c r="J30" i="6" s="1"/>
  <c r="L30" i="6" s="1"/>
  <c r="F30" i="6"/>
  <c r="A31" i="6" s="1"/>
  <c r="E31" i="6" s="1"/>
  <c r="D30" i="6"/>
  <c r="H30" i="6" s="1"/>
  <c r="H115" i="2"/>
  <c r="F115" i="2"/>
  <c r="A116" i="2" s="1"/>
  <c r="E116" i="2" s="1"/>
  <c r="G116" i="2" s="1"/>
  <c r="C31" i="6" l="1"/>
  <c r="K31" i="6" s="1"/>
  <c r="B31" i="6"/>
  <c r="G31" i="6"/>
  <c r="F31" i="6"/>
  <c r="A32" i="6" s="1"/>
  <c r="B116" i="2"/>
  <c r="F116" i="2" s="1"/>
  <c r="A117" i="2" s="1"/>
  <c r="C117" i="2" s="1"/>
  <c r="C116" i="2"/>
  <c r="D116" i="2" s="1"/>
  <c r="H116" i="2" s="1"/>
  <c r="I31" i="6" l="1"/>
  <c r="J31" i="6" s="1"/>
  <c r="L31" i="6" s="1"/>
  <c r="D31" i="6"/>
  <c r="H31" i="6" s="1"/>
  <c r="C32" i="6"/>
  <c r="K32" i="6" s="1"/>
  <c r="B32" i="6"/>
  <c r="E32" i="6"/>
  <c r="G32" i="6" s="1"/>
  <c r="E117" i="2"/>
  <c r="D117" i="2" s="1"/>
  <c r="B117" i="2"/>
  <c r="I32" i="6" l="1"/>
  <c r="J32" i="6" s="1"/>
  <c r="L32" i="6" s="1"/>
  <c r="F32" i="6"/>
  <c r="A33" i="6" s="1"/>
  <c r="D32" i="6"/>
  <c r="H32" i="6" s="1"/>
  <c r="H117" i="2"/>
  <c r="G117" i="2"/>
  <c r="F117" i="2"/>
  <c r="A118" i="2" s="1"/>
  <c r="E118" i="2" s="1"/>
  <c r="G118" i="2" s="1"/>
  <c r="E33" i="6" l="1"/>
  <c r="G33" i="6" s="1"/>
  <c r="B33" i="6"/>
  <c r="C33" i="6"/>
  <c r="K33" i="6" s="1"/>
  <c r="C118" i="2"/>
  <c r="D118" i="2" s="1"/>
  <c r="B118" i="2"/>
  <c r="F118" i="2" s="1"/>
  <c r="A119" i="2" s="1"/>
  <c r="I33" i="6" l="1"/>
  <c r="J33" i="6" s="1"/>
  <c r="L33" i="6" s="1"/>
  <c r="F33" i="6"/>
  <c r="A34" i="6" s="1"/>
  <c r="D33" i="6"/>
  <c r="H33" i="6" s="1"/>
  <c r="E34" i="6"/>
  <c r="G34" i="6" s="1"/>
  <c r="H118" i="2"/>
  <c r="E119" i="2"/>
  <c r="G119" i="2" s="1"/>
  <c r="B119" i="2"/>
  <c r="C119" i="2"/>
  <c r="C34" i="6" l="1"/>
  <c r="K34" i="6" s="1"/>
  <c r="B34" i="6"/>
  <c r="F34" i="6"/>
  <c r="A35" i="6" s="1"/>
  <c r="D34" i="6"/>
  <c r="H34" i="6" s="1"/>
  <c r="D119" i="2"/>
  <c r="H119" i="2" s="1"/>
  <c r="F119" i="2"/>
  <c r="A120" i="2" s="1"/>
  <c r="C120" i="2" s="1"/>
  <c r="B35" i="6" l="1"/>
  <c r="I34" i="6"/>
  <c r="J34" i="6" s="1"/>
  <c r="L34" i="6" s="1"/>
  <c r="E35" i="6"/>
  <c r="G35" i="6" s="1"/>
  <c r="C35" i="6"/>
  <c r="K35" i="6" s="1"/>
  <c r="E120" i="2"/>
  <c r="G120" i="2" s="1"/>
  <c r="B120" i="2"/>
  <c r="D35" i="6" l="1"/>
  <c r="H35" i="6" s="1"/>
  <c r="F35" i="6"/>
  <c r="A36" i="6" s="1"/>
  <c r="E36" i="6" s="1"/>
  <c r="G36" i="6" s="1"/>
  <c r="I35" i="6"/>
  <c r="J35" i="6" s="1"/>
  <c r="L35" i="6" s="1"/>
  <c r="B36" i="6"/>
  <c r="C36" i="6"/>
  <c r="F120" i="2"/>
  <c r="A121" i="2" s="1"/>
  <c r="D120" i="2"/>
  <c r="H120" i="2" s="1"/>
  <c r="I36" i="6" l="1"/>
  <c r="J36" i="6" s="1"/>
  <c r="D36" i="6"/>
  <c r="H36" i="6" s="1"/>
  <c r="K36" i="6"/>
  <c r="F36" i="6"/>
  <c r="A37" i="6" s="1"/>
  <c r="C121" i="2"/>
  <c r="B121" i="2"/>
  <c r="E121" i="2"/>
  <c r="G121" i="2" s="1"/>
  <c r="L36" i="6" l="1"/>
  <c r="E37" i="6"/>
  <c r="G37" i="6" s="1"/>
  <c r="B37" i="6"/>
  <c r="C37" i="6"/>
  <c r="I37" i="6" s="1"/>
  <c r="J37" i="6" s="1"/>
  <c r="F121" i="2"/>
  <c r="A122" i="2" s="1"/>
  <c r="B122" i="2" s="1"/>
  <c r="D121" i="2"/>
  <c r="H121" i="2" s="1"/>
  <c r="D37" i="6" l="1"/>
  <c r="H37" i="6" s="1"/>
  <c r="F37" i="6"/>
  <c r="A38" i="6" s="1"/>
  <c r="K37" i="6"/>
  <c r="L37" i="6" s="1"/>
  <c r="E122" i="2"/>
  <c r="G122" i="2" s="1"/>
  <c r="C122" i="2"/>
  <c r="F122" i="2" l="1"/>
  <c r="A123" i="2" s="1"/>
  <c r="B123" i="2" s="1"/>
  <c r="E38" i="6"/>
  <c r="G38" i="6" s="1"/>
  <c r="B38" i="6"/>
  <c r="C38" i="6"/>
  <c r="K38" i="6" s="1"/>
  <c r="D122" i="2"/>
  <c r="H122" i="2" s="1"/>
  <c r="E123" i="2"/>
  <c r="F123" i="2" s="1"/>
  <c r="A124" i="2" s="1"/>
  <c r="C123" i="2"/>
  <c r="D123" i="2" s="1"/>
  <c r="H123" i="2" s="1"/>
  <c r="I38" i="6" l="1"/>
  <c r="J38" i="6" s="1"/>
  <c r="L38" i="6" s="1"/>
  <c r="F38" i="6"/>
  <c r="A39" i="6" s="1"/>
  <c r="C39" i="6" s="1"/>
  <c r="K39" i="6" s="1"/>
  <c r="D38" i="6"/>
  <c r="H38" i="6" s="1"/>
  <c r="B124" i="2"/>
  <c r="C124" i="2"/>
  <c r="E124" i="2"/>
  <c r="G124" i="2" s="1"/>
  <c r="G123" i="2"/>
  <c r="B39" i="6" l="1"/>
  <c r="E39" i="6"/>
  <c r="G39" i="6" s="1"/>
  <c r="I39" i="6"/>
  <c r="J39" i="6" s="1"/>
  <c r="L39" i="6" s="1"/>
  <c r="D124" i="2"/>
  <c r="H124" i="2" s="1"/>
  <c r="F124" i="2"/>
  <c r="A125" i="2" s="1"/>
  <c r="C125" i="2" s="1"/>
  <c r="D39" i="6" l="1"/>
  <c r="H39" i="6" s="1"/>
  <c r="F39" i="6"/>
  <c r="A40" i="6" s="1"/>
  <c r="C40" i="6" s="1"/>
  <c r="K40" i="6" s="1"/>
  <c r="B125" i="2"/>
  <c r="E125" i="2"/>
  <c r="D125" i="2" s="1"/>
  <c r="I40" i="6" l="1"/>
  <c r="J40" i="6" s="1"/>
  <c r="E40" i="6"/>
  <c r="G40" i="6" s="1"/>
  <c r="B40" i="6"/>
  <c r="H125" i="2"/>
  <c r="F125" i="2"/>
  <c r="A126" i="2" s="1"/>
  <c r="C126" i="2" s="1"/>
  <c r="G125" i="2"/>
  <c r="F40" i="6" l="1"/>
  <c r="A41" i="6" s="1"/>
  <c r="B41" i="6" s="1"/>
  <c r="D40" i="6"/>
  <c r="H40" i="6" s="1"/>
  <c r="L40" i="6"/>
  <c r="E126" i="2"/>
  <c r="B126" i="2"/>
  <c r="F126" i="2" l="1"/>
  <c r="A127" i="2" s="1"/>
  <c r="E127" i="2" s="1"/>
  <c r="E41" i="6"/>
  <c r="C41" i="6"/>
  <c r="K41" i="6" s="1"/>
  <c r="D126" i="2"/>
  <c r="G126" i="2"/>
  <c r="G41" i="6"/>
  <c r="F41" i="6"/>
  <c r="A42" i="6" s="1"/>
  <c r="H126" i="2"/>
  <c r="B127" i="2"/>
  <c r="F127" i="2" s="1"/>
  <c r="A128" i="2" s="1"/>
  <c r="E128" i="2" s="1"/>
  <c r="G127" i="2"/>
  <c r="C127" i="2"/>
  <c r="D127" i="2" s="1"/>
  <c r="D41" i="6" l="1"/>
  <c r="H41" i="6" s="1"/>
  <c r="I41" i="6"/>
  <c r="J41" i="6" s="1"/>
  <c r="L41" i="6" s="1"/>
  <c r="H127" i="2"/>
  <c r="C128" i="2"/>
  <c r="B42" i="6"/>
  <c r="K42" i="6"/>
  <c r="E42" i="6"/>
  <c r="G42" i="6" s="1"/>
  <c r="C42" i="6"/>
  <c r="I42" i="6" s="1"/>
  <c r="J42" i="6" s="1"/>
  <c r="B128" i="2"/>
  <c r="F128" i="2" s="1"/>
  <c r="A129" i="2" s="1"/>
  <c r="G128" i="2"/>
  <c r="D128" i="2"/>
  <c r="L42" i="6" l="1"/>
  <c r="D42" i="6"/>
  <c r="H42" i="6" s="1"/>
  <c r="F42" i="6"/>
  <c r="A43" i="6" s="1"/>
  <c r="B129" i="2"/>
  <c r="E129" i="2"/>
  <c r="F129" i="2" s="1"/>
  <c r="A130" i="2" s="1"/>
  <c r="E130" i="2" s="1"/>
  <c r="C129" i="2"/>
  <c r="E43" i="6"/>
  <c r="G43" i="6" s="1"/>
  <c r="C43" i="6"/>
  <c r="H128" i="2"/>
  <c r="B130" i="2" l="1"/>
  <c r="F130" i="2" s="1"/>
  <c r="A131" i="2" s="1"/>
  <c r="B131" i="2" s="1"/>
  <c r="G129" i="2"/>
  <c r="G130" i="2"/>
  <c r="D129" i="2"/>
  <c r="C130" i="2"/>
  <c r="D130" i="2" s="1"/>
  <c r="B43" i="6"/>
  <c r="F43" i="6" s="1"/>
  <c r="A44" i="6" s="1"/>
  <c r="C44" i="6" s="1"/>
  <c r="I44" i="6" s="1"/>
  <c r="D43" i="6"/>
  <c r="H43" i="6" s="1"/>
  <c r="K43" i="6"/>
  <c r="I43" i="6"/>
  <c r="J43" i="6" s="1"/>
  <c r="H129" i="2"/>
  <c r="E44" i="6"/>
  <c r="G44" i="6" s="1"/>
  <c r="C131" i="2"/>
  <c r="E131" i="2"/>
  <c r="F131" i="2" s="1"/>
  <c r="A132" i="2" s="1"/>
  <c r="C132" i="2" s="1"/>
  <c r="B44" i="6" l="1"/>
  <c r="K44" i="6"/>
  <c r="F44" i="6"/>
  <c r="A45" i="6" s="1"/>
  <c r="K45" i="6" s="1"/>
  <c r="H130" i="2"/>
  <c r="L43" i="6"/>
  <c r="J44" i="6"/>
  <c r="L44" i="6" s="1"/>
  <c r="D44" i="6"/>
  <c r="H44" i="6" s="1"/>
  <c r="G131" i="2"/>
  <c r="C45" i="6"/>
  <c r="I45" i="6" s="1"/>
  <c r="J45" i="6" s="1"/>
  <c r="E45" i="6"/>
  <c r="G45" i="6" s="1"/>
  <c r="B45" i="6"/>
  <c r="E132" i="2"/>
  <c r="D132" i="2" s="1"/>
  <c r="B132" i="2"/>
  <c r="D131" i="2"/>
  <c r="H131" i="2" s="1"/>
  <c r="L45" i="6" l="1"/>
  <c r="F45" i="6"/>
  <c r="A46" i="6" s="1"/>
  <c r="D45" i="6"/>
  <c r="H45" i="6" s="1"/>
  <c r="F132" i="2"/>
  <c r="A133" i="2" s="1"/>
  <c r="G132" i="2"/>
  <c r="H132" i="2"/>
  <c r="B46" i="6"/>
  <c r="E46" i="6"/>
  <c r="G46" i="6" s="1"/>
  <c r="K46" i="6"/>
  <c r="C46" i="6"/>
  <c r="I46" i="6" s="1"/>
  <c r="J46" i="6" s="1"/>
  <c r="E133" i="2"/>
  <c r="G133" i="2" s="1"/>
  <c r="B133" i="2"/>
  <c r="C133" i="2"/>
  <c r="L46" i="6" l="1"/>
  <c r="D46" i="6"/>
  <c r="H46" i="6" s="1"/>
  <c r="F46" i="6"/>
  <c r="A47" i="6" s="1"/>
  <c r="B47" i="6" s="1"/>
  <c r="D133" i="2"/>
  <c r="H133" i="2" s="1"/>
  <c r="F133" i="2"/>
  <c r="A134" i="2" s="1"/>
  <c r="E47" i="6" l="1"/>
  <c r="G47" i="6" s="1"/>
  <c r="K47" i="6"/>
  <c r="C47" i="6"/>
  <c r="F47" i="6"/>
  <c r="A48" i="6" s="1"/>
  <c r="D47" i="6"/>
  <c r="H47" i="6" s="1"/>
  <c r="I47" i="6"/>
  <c r="J47" i="6" s="1"/>
  <c r="K48" i="6"/>
  <c r="C48" i="6"/>
  <c r="I48" i="6" s="1"/>
  <c r="E48" i="6"/>
  <c r="G48" i="6" s="1"/>
  <c r="B48" i="6"/>
  <c r="C134" i="2"/>
  <c r="E134" i="2"/>
  <c r="D134" i="2" s="1"/>
  <c r="B134" i="2"/>
  <c r="L47" i="6" l="1"/>
  <c r="J48" i="6"/>
  <c r="L48" i="6" s="1"/>
  <c r="D48" i="6"/>
  <c r="H48" i="6" s="1"/>
  <c r="F48" i="6"/>
  <c r="A49" i="6" s="1"/>
  <c r="C49" i="6" s="1"/>
  <c r="I49" i="6" s="1"/>
  <c r="J49" i="6" s="1"/>
  <c r="H134" i="2"/>
  <c r="F134" i="2"/>
  <c r="A135" i="2" s="1"/>
  <c r="G134" i="2"/>
  <c r="B49" i="6" l="1"/>
  <c r="E49" i="6"/>
  <c r="G49" i="6" s="1"/>
  <c r="K49" i="6"/>
  <c r="L49" i="6" s="1"/>
  <c r="C135" i="2"/>
  <c r="B135" i="2"/>
  <c r="E135" i="2"/>
  <c r="D49" i="6" l="1"/>
  <c r="H49" i="6" s="1"/>
  <c r="F49" i="6"/>
  <c r="A50" i="6" s="1"/>
  <c r="D135" i="2"/>
  <c r="H135" i="2" s="1"/>
  <c r="G135" i="2"/>
  <c r="F135" i="2"/>
  <c r="A136" i="2" s="1"/>
  <c r="K50" i="6" l="1"/>
  <c r="B50" i="6"/>
  <c r="C50" i="6"/>
  <c r="I50" i="6" s="1"/>
  <c r="J50" i="6" s="1"/>
  <c r="L50" i="6" s="1"/>
  <c r="E50" i="6"/>
  <c r="G50" i="6" s="1"/>
  <c r="B136" i="2"/>
  <c r="C136" i="2"/>
  <c r="E136" i="2"/>
  <c r="F136" i="2" s="1"/>
  <c r="A137" i="2" s="1"/>
  <c r="F50" i="6" l="1"/>
  <c r="A51" i="6" s="1"/>
  <c r="D50" i="6"/>
  <c r="H50" i="6" s="1"/>
  <c r="D136" i="2"/>
  <c r="H136" i="2" s="1"/>
  <c r="E137" i="2"/>
  <c r="C137" i="2"/>
  <c r="B137" i="2"/>
  <c r="G136" i="2"/>
  <c r="K51" i="6" l="1"/>
  <c r="C51" i="6"/>
  <c r="I51" i="6" s="1"/>
  <c r="J51" i="6" s="1"/>
  <c r="L51" i="6" s="1"/>
  <c r="E51" i="6"/>
  <c r="G51" i="6" s="1"/>
  <c r="B51" i="6"/>
  <c r="D51" i="6"/>
  <c r="H51" i="6" s="1"/>
  <c r="F51" i="6"/>
  <c r="A52" i="6" s="1"/>
  <c r="F137" i="2"/>
  <c r="A138" i="2" s="1"/>
  <c r="B138" i="2" s="1"/>
  <c r="D137" i="2"/>
  <c r="H137" i="2"/>
  <c r="G137" i="2"/>
  <c r="K52" i="6" l="1"/>
  <c r="E52" i="6"/>
  <c r="G52" i="6" s="1"/>
  <c r="C52" i="6"/>
  <c r="I52" i="6" s="1"/>
  <c r="J52" i="6" s="1"/>
  <c r="L52" i="6" s="1"/>
  <c r="B52" i="6"/>
  <c r="F52" i="6" s="1"/>
  <c r="A53" i="6" s="1"/>
  <c r="D52" i="6"/>
  <c r="H52" i="6" s="1"/>
  <c r="E138" i="2"/>
  <c r="F138" i="2" s="1"/>
  <c r="A139" i="2" s="1"/>
  <c r="C138" i="2"/>
  <c r="C53" i="6" l="1"/>
  <c r="I53" i="6" s="1"/>
  <c r="J53" i="6" s="1"/>
  <c r="K53" i="6"/>
  <c r="B53" i="6"/>
  <c r="E53" i="6"/>
  <c r="G53" i="6" s="1"/>
  <c r="F53" i="6"/>
  <c r="A54" i="6" s="1"/>
  <c r="E54" i="6" s="1"/>
  <c r="G54" i="6" s="1"/>
  <c r="G138" i="2"/>
  <c r="D138" i="2"/>
  <c r="H138" i="2" s="1"/>
  <c r="C139" i="2"/>
  <c r="B139" i="2"/>
  <c r="E139" i="2"/>
  <c r="F139" i="2" s="1"/>
  <c r="A140" i="2" s="1"/>
  <c r="D53" i="6" l="1"/>
  <c r="H53" i="6" s="1"/>
  <c r="L53" i="6"/>
  <c r="B54" i="6"/>
  <c r="F54" i="6" s="1"/>
  <c r="A55" i="6" s="1"/>
  <c r="C54" i="6"/>
  <c r="D54" i="6" s="1"/>
  <c r="H54" i="6" s="1"/>
  <c r="K54" i="6"/>
  <c r="K55" i="6"/>
  <c r="E55" i="6"/>
  <c r="G55" i="6" s="1"/>
  <c r="C55" i="6"/>
  <c r="I55" i="6" s="1"/>
  <c r="B55" i="6"/>
  <c r="F55" i="6" s="1"/>
  <c r="A56" i="6" s="1"/>
  <c r="D139" i="2"/>
  <c r="H139" i="2" s="1"/>
  <c r="E140" i="2"/>
  <c r="B140" i="2"/>
  <c r="C140" i="2"/>
  <c r="G139" i="2"/>
  <c r="D55" i="6" l="1"/>
  <c r="H55" i="6" s="1"/>
  <c r="I54" i="6"/>
  <c r="J54" i="6" s="1"/>
  <c r="L54" i="6" s="1"/>
  <c r="F140" i="2"/>
  <c r="A141" i="2" s="1"/>
  <c r="K56" i="6"/>
  <c r="C56" i="6"/>
  <c r="I56" i="6" s="1"/>
  <c r="B56" i="6"/>
  <c r="E56" i="6"/>
  <c r="G56" i="6" s="1"/>
  <c r="D140" i="2"/>
  <c r="B141" i="2"/>
  <c r="E141" i="2"/>
  <c r="F141" i="2" s="1"/>
  <c r="A142" i="2" s="1"/>
  <c r="C141" i="2"/>
  <c r="G140" i="2"/>
  <c r="H140" i="2"/>
  <c r="J55" i="6" l="1"/>
  <c r="L55" i="6" s="1"/>
  <c r="F56" i="6"/>
  <c r="A57" i="6" s="1"/>
  <c r="D56" i="6"/>
  <c r="H56" i="6" s="1"/>
  <c r="D141" i="2"/>
  <c r="E142" i="2"/>
  <c r="C142" i="2"/>
  <c r="B142" i="2"/>
  <c r="G141" i="2"/>
  <c r="H141" i="2"/>
  <c r="J56" i="6" l="1"/>
  <c r="L56" i="6" s="1"/>
  <c r="K57" i="6"/>
  <c r="B57" i="6"/>
  <c r="C57" i="6"/>
  <c r="I57" i="6" s="1"/>
  <c r="J57" i="6" s="1"/>
  <c r="E57" i="6"/>
  <c r="G57" i="6" s="1"/>
  <c r="F142" i="2"/>
  <c r="A143" i="2" s="1"/>
  <c r="B143" i="2" s="1"/>
  <c r="D142" i="2"/>
  <c r="H142" i="2" s="1"/>
  <c r="G142" i="2"/>
  <c r="L57" i="6" l="1"/>
  <c r="C143" i="2"/>
  <c r="E143" i="2"/>
  <c r="D143" i="2" s="1"/>
  <c r="H143" i="2" s="1"/>
  <c r="F57" i="6"/>
  <c r="A58" i="6" s="1"/>
  <c r="D57" i="6"/>
  <c r="H57" i="6" s="1"/>
  <c r="F143" i="2" l="1"/>
  <c r="A144" i="2" s="1"/>
  <c r="E144" i="2" s="1"/>
  <c r="G143" i="2"/>
  <c r="K58" i="6"/>
  <c r="B58" i="6"/>
  <c r="C58" i="6"/>
  <c r="I58" i="6" s="1"/>
  <c r="J58" i="6" s="1"/>
  <c r="E58" i="6"/>
  <c r="G58" i="6" s="1"/>
  <c r="C144" i="2"/>
  <c r="D144" i="2" s="1"/>
  <c r="B144" i="2"/>
  <c r="F144" i="2" s="1"/>
  <c r="A145" i="2" s="1"/>
  <c r="E145" i="2" s="1"/>
  <c r="G144" i="2"/>
  <c r="L58" i="6" l="1"/>
  <c r="H144" i="2"/>
  <c r="D58" i="6"/>
  <c r="H58" i="6" s="1"/>
  <c r="F58" i="6"/>
  <c r="A59" i="6" s="1"/>
  <c r="B145" i="2"/>
  <c r="F145" i="2" s="1"/>
  <c r="A146" i="2" s="1"/>
  <c r="G145" i="2"/>
  <c r="C145" i="2"/>
  <c r="D145" i="2" s="1"/>
  <c r="K59" i="6" l="1"/>
  <c r="E59" i="6"/>
  <c r="G59" i="6" s="1"/>
  <c r="H145" i="2"/>
  <c r="B59" i="6"/>
  <c r="C59" i="6"/>
  <c r="I59" i="6" s="1"/>
  <c r="J59" i="6" s="1"/>
  <c r="B146" i="2"/>
  <c r="E146" i="2"/>
  <c r="G146" i="2" s="1"/>
  <c r="C146" i="2"/>
  <c r="L59" i="6" l="1"/>
  <c r="F59" i="6"/>
  <c r="A60" i="6" s="1"/>
  <c r="K60" i="6" s="1"/>
  <c r="E60" i="6"/>
  <c r="G60" i="6" s="1"/>
  <c r="C60" i="6"/>
  <c r="I60" i="6" s="1"/>
  <c r="J60" i="6" s="1"/>
  <c r="L60" i="6" s="1"/>
  <c r="D59" i="6"/>
  <c r="H59" i="6" s="1"/>
  <c r="D146" i="2"/>
  <c r="H146" i="2" s="1"/>
  <c r="F146" i="2"/>
  <c r="A147" i="2" s="1"/>
  <c r="B147" i="2" s="1"/>
  <c r="B60" i="6" l="1"/>
  <c r="F60" i="6" s="1"/>
  <c r="A61" i="6" s="1"/>
  <c r="D60" i="6"/>
  <c r="H60" i="6" s="1"/>
  <c r="K61" i="6"/>
  <c r="E61" i="6"/>
  <c r="G61" i="6" s="1"/>
  <c r="C61" i="6"/>
  <c r="I61" i="6" s="1"/>
  <c r="J61" i="6" s="1"/>
  <c r="B61" i="6"/>
  <c r="F61" i="6" s="1"/>
  <c r="A62" i="6" s="1"/>
  <c r="E147" i="2"/>
  <c r="F147" i="2" s="1"/>
  <c r="A148" i="2" s="1"/>
  <c r="B148" i="2" s="1"/>
  <c r="C147" i="2"/>
  <c r="D147" i="2" s="1"/>
  <c r="H147" i="2" s="1"/>
  <c r="L61" i="6" l="1"/>
  <c r="D61" i="6"/>
  <c r="H61" i="6" s="1"/>
  <c r="G147" i="2"/>
  <c r="K62" i="6"/>
  <c r="E62" i="6"/>
  <c r="G62" i="6" s="1"/>
  <c r="B62" i="6"/>
  <c r="C62" i="6"/>
  <c r="I62" i="6" s="1"/>
  <c r="J62" i="6" s="1"/>
  <c r="L62" i="6" s="1"/>
  <c r="C148" i="2"/>
  <c r="E148" i="2"/>
  <c r="G148" i="2" s="1"/>
  <c r="D62" i="6" l="1"/>
  <c r="H62" i="6" s="1"/>
  <c r="F62" i="6"/>
  <c r="A63" i="6" s="1"/>
  <c r="K63" i="6" s="1"/>
  <c r="D148" i="2"/>
  <c r="H148" i="2" s="1"/>
  <c r="F148" i="2"/>
  <c r="A149" i="2" s="1"/>
  <c r="C149" i="2" s="1"/>
  <c r="B63" i="6" l="1"/>
  <c r="C63" i="6"/>
  <c r="E63" i="6"/>
  <c r="G63" i="6" s="1"/>
  <c r="I63" i="6"/>
  <c r="J63" i="6" s="1"/>
  <c r="L63" i="6" s="1"/>
  <c r="B149" i="2"/>
  <c r="E149" i="2"/>
  <c r="G149" i="2" s="1"/>
  <c r="D63" i="6" l="1"/>
  <c r="H63" i="6" s="1"/>
  <c r="F63" i="6"/>
  <c r="A64" i="6" s="1"/>
  <c r="F149" i="2"/>
  <c r="A150" i="2" s="1"/>
  <c r="E150" i="2" s="1"/>
  <c r="G150" i="2" s="1"/>
  <c r="D149" i="2"/>
  <c r="H149" i="2" s="1"/>
  <c r="K64" i="6" l="1"/>
  <c r="E64" i="6"/>
  <c r="G64" i="6" s="1"/>
  <c r="B64" i="6"/>
  <c r="C64" i="6"/>
  <c r="I64" i="6" s="1"/>
  <c r="J64" i="6" s="1"/>
  <c r="L64" i="6" s="1"/>
  <c r="C150" i="2"/>
  <c r="D150" i="2" s="1"/>
  <c r="B150" i="2"/>
  <c r="F150" i="2" s="1"/>
  <c r="A151" i="2" s="1"/>
  <c r="C151" i="2" s="1"/>
  <c r="F64" i="6" l="1"/>
  <c r="A65" i="6" s="1"/>
  <c r="D64" i="6"/>
  <c r="H64" i="6" s="1"/>
  <c r="H150" i="2"/>
  <c r="E151" i="2"/>
  <c r="F151" i="2" s="1"/>
  <c r="A152" i="2" s="1"/>
  <c r="B152" i="2" s="1"/>
  <c r="B151" i="2"/>
  <c r="B65" i="6" l="1"/>
  <c r="E65" i="6"/>
  <c r="G65" i="6" s="1"/>
  <c r="K65" i="6"/>
  <c r="C65" i="6"/>
  <c r="I65" i="6" s="1"/>
  <c r="J65" i="6" s="1"/>
  <c r="F65" i="6"/>
  <c r="A66" i="6" s="1"/>
  <c r="G151" i="2"/>
  <c r="D151" i="2"/>
  <c r="E152" i="2"/>
  <c r="C152" i="2"/>
  <c r="H151" i="2"/>
  <c r="F152" i="2"/>
  <c r="A153" i="2" s="1"/>
  <c r="G152" i="2"/>
  <c r="L65" i="6" l="1"/>
  <c r="D65" i="6"/>
  <c r="H65" i="6" s="1"/>
  <c r="K66" i="6"/>
  <c r="C66" i="6"/>
  <c r="I66" i="6" s="1"/>
  <c r="J66" i="6" s="1"/>
  <c r="L66" i="6" s="1"/>
  <c r="B66" i="6"/>
  <c r="E66" i="6"/>
  <c r="G66" i="6" s="1"/>
  <c r="D152" i="2"/>
  <c r="H152" i="2" s="1"/>
  <c r="B153" i="2"/>
  <c r="C153" i="2"/>
  <c r="E153" i="2"/>
  <c r="D66" i="6" l="1"/>
  <c r="H66" i="6" s="1"/>
  <c r="F66" i="6"/>
  <c r="A67" i="6" s="1"/>
  <c r="C67" i="6" s="1"/>
  <c r="I67" i="6" s="1"/>
  <c r="J67" i="6" s="1"/>
  <c r="K67" i="6"/>
  <c r="B67" i="6"/>
  <c r="F153" i="2"/>
  <c r="A154" i="2" s="1"/>
  <c r="G153" i="2"/>
  <c r="D153" i="2"/>
  <c r="H153" i="2" s="1"/>
  <c r="E67" i="6" l="1"/>
  <c r="G67" i="6" s="1"/>
  <c r="L67" i="6"/>
  <c r="D67" i="6"/>
  <c r="H67" i="6" s="1"/>
  <c r="C154" i="2"/>
  <c r="E154" i="2"/>
  <c r="B154" i="2"/>
  <c r="F67" i="6" l="1"/>
  <c r="A68" i="6" s="1"/>
  <c r="F154" i="2"/>
  <c r="A155" i="2" s="1"/>
  <c r="E155" i="2" s="1"/>
  <c r="G154" i="2"/>
  <c r="D154" i="2"/>
  <c r="H154" i="2" s="1"/>
  <c r="K68" i="6" l="1"/>
  <c r="E68" i="6"/>
  <c r="G68" i="6" s="1"/>
  <c r="B68" i="6"/>
  <c r="F68" i="6" s="1"/>
  <c r="A69" i="6" s="1"/>
  <c r="C68" i="6"/>
  <c r="I68" i="6" s="1"/>
  <c r="J68" i="6" s="1"/>
  <c r="L68" i="6" s="1"/>
  <c r="G155" i="2"/>
  <c r="C155" i="2"/>
  <c r="B155" i="2"/>
  <c r="D155" i="2"/>
  <c r="F155" i="2"/>
  <c r="A156" i="2" s="1"/>
  <c r="C156" i="2" s="1"/>
  <c r="H155" i="2"/>
  <c r="K69" i="6" l="1"/>
  <c r="B69" i="6"/>
  <c r="C69" i="6"/>
  <c r="I69" i="6" s="1"/>
  <c r="J69" i="6" s="1"/>
  <c r="L69" i="6" s="1"/>
  <c r="E69" i="6"/>
  <c r="G69" i="6" s="1"/>
  <c r="D68" i="6"/>
  <c r="H68" i="6" s="1"/>
  <c r="B156" i="2"/>
  <c r="E156" i="2"/>
  <c r="F156" i="2" s="1"/>
  <c r="A157" i="2" s="1"/>
  <c r="C157" i="2" s="1"/>
  <c r="D69" i="6" l="1"/>
  <c r="H69" i="6" s="1"/>
  <c r="F69" i="6"/>
  <c r="A70" i="6" s="1"/>
  <c r="G156" i="2"/>
  <c r="E157" i="2"/>
  <c r="G157" i="2" s="1"/>
  <c r="D156" i="2"/>
  <c r="H156" i="2" s="1"/>
  <c r="B157" i="2"/>
  <c r="B70" i="6" l="1"/>
  <c r="C70" i="6"/>
  <c r="I70" i="6" s="1"/>
  <c r="J70" i="6" s="1"/>
  <c r="K70" i="6"/>
  <c r="E70" i="6"/>
  <c r="G70" i="6" s="1"/>
  <c r="F70" i="6"/>
  <c r="A71" i="6" s="1"/>
  <c r="D157" i="2"/>
  <c r="H157" i="2" s="1"/>
  <c r="F157" i="2"/>
  <c r="A158" i="2" s="1"/>
  <c r="B158" i="2" s="1"/>
  <c r="D70" i="6" l="1"/>
  <c r="H70" i="6" s="1"/>
  <c r="K71" i="6"/>
  <c r="C71" i="6"/>
  <c r="I71" i="6" s="1"/>
  <c r="J71" i="6" s="1"/>
  <c r="L71" i="6" s="1"/>
  <c r="E71" i="6"/>
  <c r="G71" i="6" s="1"/>
  <c r="B71" i="6"/>
  <c r="F71" i="6"/>
  <c r="A72" i="6" s="1"/>
  <c r="D71" i="6"/>
  <c r="H71" i="6" s="1"/>
  <c r="L70" i="6"/>
  <c r="E158" i="2"/>
  <c r="F158" i="2" s="1"/>
  <c r="A159" i="2" s="1"/>
  <c r="E159" i="2" s="1"/>
  <c r="C158" i="2"/>
  <c r="D158" i="2" s="1"/>
  <c r="H158" i="2" s="1"/>
  <c r="C72" i="6" l="1"/>
  <c r="I72" i="6" s="1"/>
  <c r="J72" i="6" s="1"/>
  <c r="K72" i="6"/>
  <c r="E72" i="6"/>
  <c r="G72" i="6" s="1"/>
  <c r="B72" i="6"/>
  <c r="B159" i="2"/>
  <c r="C159" i="2"/>
  <c r="D159" i="2" s="1"/>
  <c r="G158" i="2"/>
  <c r="G159" i="2"/>
  <c r="F159" i="2"/>
  <c r="A160" i="2" s="1"/>
  <c r="E160" i="2" s="1"/>
  <c r="G160" i="2" s="1"/>
  <c r="L72" i="6" l="1"/>
  <c r="F72" i="6"/>
  <c r="A73" i="6" s="1"/>
  <c r="D72" i="6"/>
  <c r="H72" i="6" s="1"/>
  <c r="H159" i="2"/>
  <c r="C160" i="2"/>
  <c r="D160" i="2" s="1"/>
  <c r="B160" i="2"/>
  <c r="F160" i="2"/>
  <c r="A161" i="2" s="1"/>
  <c r="B161" i="2" s="1"/>
  <c r="K73" i="6" l="1"/>
  <c r="B73" i="6"/>
  <c r="C73" i="6"/>
  <c r="E73" i="6"/>
  <c r="G73" i="6" s="1"/>
  <c r="H160" i="2"/>
  <c r="C161" i="2"/>
  <c r="E161" i="2"/>
  <c r="G161" i="2" s="1"/>
  <c r="I73" i="6" l="1"/>
  <c r="J73" i="6" s="1"/>
  <c r="L73" i="6" s="1"/>
  <c r="D73" i="6"/>
  <c r="H73" i="6" s="1"/>
  <c r="F73" i="6"/>
  <c r="A74" i="6" s="1"/>
  <c r="D161" i="2"/>
  <c r="H161" i="2" s="1"/>
  <c r="F161" i="2"/>
  <c r="A162" i="2" s="1"/>
  <c r="B74" i="6" l="1"/>
  <c r="F74" i="6" s="1"/>
  <c r="A75" i="6" s="1"/>
  <c r="C74" i="6"/>
  <c r="I74" i="6" s="1"/>
  <c r="J74" i="6" s="1"/>
  <c r="K74" i="6"/>
  <c r="E74" i="6"/>
  <c r="G74" i="6" s="1"/>
  <c r="B162" i="2"/>
  <c r="C162" i="2"/>
  <c r="E162" i="2"/>
  <c r="G162" i="2" s="1"/>
  <c r="L74" i="6" l="1"/>
  <c r="K75" i="6"/>
  <c r="E75" i="6"/>
  <c r="G75" i="6" s="1"/>
  <c r="B75" i="6"/>
  <c r="F75" i="6" s="1"/>
  <c r="A76" i="6" s="1"/>
  <c r="C75" i="6"/>
  <c r="I75" i="6" s="1"/>
  <c r="J75" i="6" s="1"/>
  <c r="D74" i="6"/>
  <c r="H74" i="6" s="1"/>
  <c r="D162" i="2"/>
  <c r="H162" i="2" s="1"/>
  <c r="F162" i="2"/>
  <c r="A163" i="2" s="1"/>
  <c r="L75" i="6" l="1"/>
  <c r="C76" i="6"/>
  <c r="I76" i="6" s="1"/>
  <c r="J76" i="6" s="1"/>
  <c r="K76" i="6"/>
  <c r="E76" i="6"/>
  <c r="G76" i="6" s="1"/>
  <c r="B76" i="6"/>
  <c r="D75" i="6"/>
  <c r="H75" i="6" s="1"/>
  <c r="C163" i="2"/>
  <c r="E163" i="2"/>
  <c r="G163" i="2" s="1"/>
  <c r="B163" i="2"/>
  <c r="D76" i="6" l="1"/>
  <c r="H76" i="6" s="1"/>
  <c r="F76" i="6"/>
  <c r="A77" i="6" s="1"/>
  <c r="K77" i="6" s="1"/>
  <c r="L76" i="6"/>
  <c r="F163" i="2"/>
  <c r="A164" i="2" s="1"/>
  <c r="D163" i="2"/>
  <c r="H163" i="2" s="1"/>
  <c r="C77" i="6" l="1"/>
  <c r="I77" i="6" s="1"/>
  <c r="J77" i="6" s="1"/>
  <c r="L77" i="6" s="1"/>
  <c r="E77" i="6"/>
  <c r="G77" i="6" s="1"/>
  <c r="B77" i="6"/>
  <c r="F77" i="6"/>
  <c r="A78" i="6" s="1"/>
  <c r="K78" i="6" s="1"/>
  <c r="D77" i="6"/>
  <c r="H77" i="6" s="1"/>
  <c r="C164" i="2"/>
  <c r="E164" i="2"/>
  <c r="G164" i="2" s="1"/>
  <c r="B164" i="2"/>
  <c r="E78" i="6" l="1"/>
  <c r="G78" i="6" s="1"/>
  <c r="B78" i="6"/>
  <c r="C78" i="6"/>
  <c r="I78" i="6" s="1"/>
  <c r="J78" i="6" s="1"/>
  <c r="L78" i="6" s="1"/>
  <c r="F164" i="2"/>
  <c r="A165" i="2" s="1"/>
  <c r="D164" i="2"/>
  <c r="H164" i="2" s="1"/>
  <c r="F78" i="6"/>
  <c r="A79" i="6" s="1"/>
  <c r="D78" i="6"/>
  <c r="H78" i="6" s="1"/>
  <c r="K79" i="6" l="1"/>
  <c r="B79" i="6"/>
  <c r="C165" i="2"/>
  <c r="E165" i="2"/>
  <c r="G165" i="2" s="1"/>
  <c r="B165" i="2"/>
  <c r="C79" i="6"/>
  <c r="I79" i="6" s="1"/>
  <c r="J79" i="6" s="1"/>
  <c r="L79" i="6" s="1"/>
  <c r="E79" i="6"/>
  <c r="G79" i="6" s="1"/>
  <c r="F165" i="2" l="1"/>
  <c r="A166" i="2" s="1"/>
  <c r="D165" i="2"/>
  <c r="H165" i="2" s="1"/>
  <c r="D79" i="6"/>
  <c r="H79" i="6" s="1"/>
  <c r="F79" i="6"/>
  <c r="A80" i="6" s="1"/>
  <c r="K80" i="6" l="1"/>
  <c r="E80" i="6"/>
  <c r="G80" i="6" s="1"/>
  <c r="C80" i="6"/>
  <c r="D80" i="6" s="1"/>
  <c r="H80" i="6" s="1"/>
  <c r="C166" i="2"/>
  <c r="E166" i="2"/>
  <c r="B166" i="2"/>
  <c r="B80" i="6"/>
  <c r="F80" i="6" s="1"/>
  <c r="A81" i="6" s="1"/>
  <c r="I80" i="6" l="1"/>
  <c r="J80" i="6" s="1"/>
  <c r="L80" i="6" s="1"/>
  <c r="K81" i="6"/>
  <c r="F166" i="2"/>
  <c r="A167" i="2" s="1"/>
  <c r="B167" i="2" s="1"/>
  <c r="B81" i="6"/>
  <c r="C81" i="6"/>
  <c r="I81" i="6" s="1"/>
  <c r="J81" i="6" s="1"/>
  <c r="D166" i="2"/>
  <c r="H166" i="2" s="1"/>
  <c r="G166" i="2"/>
  <c r="E81" i="6"/>
  <c r="G81" i="6" s="1"/>
  <c r="L81" i="6" l="1"/>
  <c r="E167" i="2"/>
  <c r="C167" i="2"/>
  <c r="F167" i="2"/>
  <c r="A168" i="2" s="1"/>
  <c r="G167" i="2"/>
  <c r="D81" i="6"/>
  <c r="H81" i="6" s="1"/>
  <c r="F81" i="6"/>
  <c r="A82" i="6" s="1"/>
  <c r="D167" i="2" l="1"/>
  <c r="H167" i="2" s="1"/>
  <c r="K82" i="6"/>
  <c r="B82" i="6"/>
  <c r="C82" i="6"/>
  <c r="I82" i="6" s="1"/>
  <c r="J82" i="6" s="1"/>
  <c r="C168" i="2"/>
  <c r="B168" i="2"/>
  <c r="E168" i="2"/>
  <c r="F168" i="2" s="1"/>
  <c r="A169" i="2" s="1"/>
  <c r="E82" i="6"/>
  <c r="G82" i="6" s="1"/>
  <c r="L82" i="6" l="1"/>
  <c r="G168" i="2"/>
  <c r="D168" i="2"/>
  <c r="H168" i="2" s="1"/>
  <c r="D82" i="6"/>
  <c r="H82" i="6" s="1"/>
  <c r="F82" i="6"/>
  <c r="A83" i="6" s="1"/>
  <c r="B169" i="2"/>
  <c r="C169" i="2"/>
  <c r="E169" i="2"/>
  <c r="G169" i="2" s="1"/>
  <c r="K83" i="6" l="1"/>
  <c r="E83" i="6"/>
  <c r="G83" i="6" s="1"/>
  <c r="C83" i="6"/>
  <c r="I83" i="6" s="1"/>
  <c r="J83" i="6" s="1"/>
  <c r="L83" i="6" s="1"/>
  <c r="B83" i="6"/>
  <c r="F169" i="2"/>
  <c r="A170" i="2" s="1"/>
  <c r="C170" i="2" s="1"/>
  <c r="D169" i="2"/>
  <c r="H169" i="2" s="1"/>
  <c r="D83" i="6" l="1"/>
  <c r="H83" i="6" s="1"/>
  <c r="F83" i="6"/>
  <c r="A84" i="6" s="1"/>
  <c r="B84" i="6" s="1"/>
  <c r="B170" i="2"/>
  <c r="E170" i="2"/>
  <c r="G170" i="2" s="1"/>
  <c r="E84" i="6" l="1"/>
  <c r="G84" i="6" s="1"/>
  <c r="C84" i="6"/>
  <c r="I84" i="6" s="1"/>
  <c r="J84" i="6" s="1"/>
  <c r="K84" i="6"/>
  <c r="F170" i="2"/>
  <c r="A171" i="2" s="1"/>
  <c r="C171" i="2" s="1"/>
  <c r="D170" i="2"/>
  <c r="H170" i="2" s="1"/>
  <c r="B171" i="2" l="1"/>
  <c r="E171" i="2"/>
  <c r="G171" i="2" s="1"/>
  <c r="L84" i="6"/>
  <c r="D84" i="6"/>
  <c r="H84" i="6" s="1"/>
  <c r="F84" i="6"/>
  <c r="A85" i="6" s="1"/>
  <c r="F171" i="2"/>
  <c r="A172" i="2" s="1"/>
  <c r="D171" i="2"/>
  <c r="H171" i="2" s="1"/>
  <c r="B85" i="6" l="1"/>
  <c r="K85" i="6"/>
  <c r="E85" i="6"/>
  <c r="G85" i="6" s="1"/>
  <c r="C85" i="6"/>
  <c r="D85" i="6" s="1"/>
  <c r="H85" i="6" s="1"/>
  <c r="E172" i="2"/>
  <c r="G172" i="2" s="1"/>
  <c r="B172" i="2"/>
  <c r="C172" i="2"/>
  <c r="I85" i="6" l="1"/>
  <c r="J85" i="6" s="1"/>
  <c r="L85" i="6" s="1"/>
  <c r="F85" i="6"/>
  <c r="A86" i="6" s="1"/>
  <c r="K86" i="6" s="1"/>
  <c r="D172" i="2"/>
  <c r="H172" i="2" s="1"/>
  <c r="B86" i="6"/>
  <c r="E86" i="6"/>
  <c r="G86" i="6" s="1"/>
  <c r="C86" i="6"/>
  <c r="F172" i="2"/>
  <c r="A173" i="2" s="1"/>
  <c r="B173" i="2" s="1"/>
  <c r="D86" i="6" l="1"/>
  <c r="H86" i="6" s="1"/>
  <c r="F86" i="6"/>
  <c r="A87" i="6" s="1"/>
  <c r="E87" i="6"/>
  <c r="G87" i="6" s="1"/>
  <c r="B87" i="6"/>
  <c r="K87" i="6"/>
  <c r="C87" i="6"/>
  <c r="I87" i="6" s="1"/>
  <c r="I86" i="6"/>
  <c r="J86" i="6" s="1"/>
  <c r="L86" i="6" s="1"/>
  <c r="E173" i="2"/>
  <c r="G173" i="2" s="1"/>
  <c r="C173" i="2"/>
  <c r="F87" i="6" l="1"/>
  <c r="A88" i="6" s="1"/>
  <c r="D87" i="6"/>
  <c r="H87" i="6" s="1"/>
  <c r="J87" i="6"/>
  <c r="L87" i="6" s="1"/>
  <c r="F173" i="2"/>
  <c r="A174" i="2" s="1"/>
  <c r="K88" i="6"/>
  <c r="D173" i="2"/>
  <c r="H173" i="2" s="1"/>
  <c r="C174" i="2"/>
  <c r="E174" i="2"/>
  <c r="G174" i="2" s="1"/>
  <c r="B174" i="2"/>
  <c r="B88" i="6"/>
  <c r="C88" i="6"/>
  <c r="I88" i="6" s="1"/>
  <c r="J88" i="6" s="1"/>
  <c r="E88" i="6"/>
  <c r="G88" i="6" s="1"/>
  <c r="L88" i="6" l="1"/>
  <c r="D174" i="2"/>
  <c r="H174" i="2" s="1"/>
  <c r="F174" i="2"/>
  <c r="A175" i="2" s="1"/>
  <c r="F88" i="6"/>
  <c r="A89" i="6" s="1"/>
  <c r="D88" i="6"/>
  <c r="H88" i="6" s="1"/>
  <c r="K89" i="6" l="1"/>
  <c r="E175" i="2"/>
  <c r="G175" i="2" s="1"/>
  <c r="B175" i="2"/>
  <c r="C175" i="2"/>
  <c r="D175" i="2" s="1"/>
  <c r="E89" i="6"/>
  <c r="G89" i="6" s="1"/>
  <c r="C89" i="6"/>
  <c r="I89" i="6" s="1"/>
  <c r="J89" i="6" s="1"/>
  <c r="B89" i="6"/>
  <c r="L89" i="6" l="1"/>
  <c r="F175" i="2"/>
  <c r="A176" i="2" s="1"/>
  <c r="H175" i="2"/>
  <c r="F89" i="6"/>
  <c r="A90" i="6" s="1"/>
  <c r="D89" i="6"/>
  <c r="H89" i="6" s="1"/>
  <c r="C176" i="2"/>
  <c r="B176" i="2"/>
  <c r="E176" i="2"/>
  <c r="F176" i="2" s="1"/>
  <c r="A177" i="2" s="1"/>
  <c r="K90" i="6" l="1"/>
  <c r="C90" i="6"/>
  <c r="I90" i="6" s="1"/>
  <c r="J90" i="6" s="1"/>
  <c r="E90" i="6"/>
  <c r="G90" i="6" s="1"/>
  <c r="B90" i="6"/>
  <c r="G176" i="2"/>
  <c r="D176" i="2"/>
  <c r="H176" i="2" s="1"/>
  <c r="B177" i="2"/>
  <c r="E177" i="2"/>
  <c r="F177" i="2" s="1"/>
  <c r="A178" i="2" s="1"/>
  <c r="C177" i="2"/>
  <c r="L90" i="6" l="1"/>
  <c r="F90" i="6"/>
  <c r="A91" i="6" s="1"/>
  <c r="D90" i="6"/>
  <c r="H90" i="6" s="1"/>
  <c r="K91" i="6"/>
  <c r="D177" i="2"/>
  <c r="G177" i="2"/>
  <c r="E178" i="2"/>
  <c r="C178" i="2"/>
  <c r="B178" i="2"/>
  <c r="H177" i="2"/>
  <c r="E91" i="6"/>
  <c r="G91" i="6" s="1"/>
  <c r="C91" i="6"/>
  <c r="I91" i="6" s="1"/>
  <c r="J91" i="6" s="1"/>
  <c r="L91" i="6" s="1"/>
  <c r="B91" i="6"/>
  <c r="F178" i="2" l="1"/>
  <c r="A179" i="2" s="1"/>
  <c r="C179" i="2" s="1"/>
  <c r="D178" i="2"/>
  <c r="G178" i="2"/>
  <c r="H178" i="2"/>
  <c r="D91" i="6"/>
  <c r="H91" i="6" s="1"/>
  <c r="F91" i="6"/>
  <c r="A92" i="6" s="1"/>
  <c r="B179" i="2" l="1"/>
  <c r="E179" i="2"/>
  <c r="K92" i="6"/>
  <c r="B92" i="6"/>
  <c r="F179" i="2"/>
  <c r="A180" i="2" s="1"/>
  <c r="E180" i="2" s="1"/>
  <c r="G179" i="2"/>
  <c r="D179" i="2"/>
  <c r="H179" i="2" s="1"/>
  <c r="E92" i="6"/>
  <c r="G92" i="6" s="1"/>
  <c r="C92" i="6"/>
  <c r="I92" i="6" s="1"/>
  <c r="J92" i="6" s="1"/>
  <c r="L92" i="6" s="1"/>
  <c r="B180" i="2" l="1"/>
  <c r="C180" i="2"/>
  <c r="F92" i="6"/>
  <c r="A93" i="6" s="1"/>
  <c r="F180" i="2"/>
  <c r="A181" i="2" s="1"/>
  <c r="C181" i="2" s="1"/>
  <c r="G180" i="2"/>
  <c r="D180" i="2"/>
  <c r="H180" i="2" s="1"/>
  <c r="D92" i="6"/>
  <c r="H92" i="6" s="1"/>
  <c r="K93" i="6" l="1"/>
  <c r="C93" i="6"/>
  <c r="B93" i="6"/>
  <c r="E93" i="6"/>
  <c r="G93" i="6" s="1"/>
  <c r="E181" i="2"/>
  <c r="D181" i="2" s="1"/>
  <c r="B181" i="2"/>
  <c r="D93" i="6" l="1"/>
  <c r="H93" i="6" s="1"/>
  <c r="F93" i="6"/>
  <c r="A94" i="6" s="1"/>
  <c r="K94" i="6" s="1"/>
  <c r="I93" i="6"/>
  <c r="J93" i="6" s="1"/>
  <c r="L93" i="6" s="1"/>
  <c r="G181" i="2"/>
  <c r="F181" i="2"/>
  <c r="A182" i="2" s="1"/>
  <c r="B182" i="2" s="1"/>
  <c r="H181" i="2"/>
  <c r="C94" i="6"/>
  <c r="E94" i="6"/>
  <c r="G94" i="6" s="1"/>
  <c r="B94" i="6" l="1"/>
  <c r="I94" i="6"/>
  <c r="J94" i="6" s="1"/>
  <c r="L94" i="6" s="1"/>
  <c r="C182" i="2"/>
  <c r="E182" i="2"/>
  <c r="G182" i="2" s="1"/>
  <c r="D94" i="6"/>
  <c r="H94" i="6" s="1"/>
  <c r="F94" i="6"/>
  <c r="A95" i="6" s="1"/>
  <c r="K95" i="6" l="1"/>
  <c r="F182" i="2"/>
  <c r="A183" i="2" s="1"/>
  <c r="B183" i="2" s="1"/>
  <c r="D182" i="2"/>
  <c r="H182" i="2" s="1"/>
  <c r="C95" i="6"/>
  <c r="I95" i="6" s="1"/>
  <c r="J95" i="6" s="1"/>
  <c r="E95" i="6"/>
  <c r="G95" i="6" s="1"/>
  <c r="B95" i="6"/>
  <c r="L95" i="6" l="1"/>
  <c r="E183" i="2"/>
  <c r="G183" i="2" s="1"/>
  <c r="C183" i="2"/>
  <c r="D183" i="2" s="1"/>
  <c r="H183" i="2" s="1"/>
  <c r="F183" i="2"/>
  <c r="A184" i="2" s="1"/>
  <c r="F95" i="6"/>
  <c r="A96" i="6" s="1"/>
  <c r="D95" i="6"/>
  <c r="H95" i="6" s="1"/>
  <c r="K96" i="6" l="1"/>
  <c r="B96" i="6"/>
  <c r="B184" i="2"/>
  <c r="E184" i="2"/>
  <c r="G184" i="2" s="1"/>
  <c r="C184" i="2"/>
  <c r="C96" i="6"/>
  <c r="I96" i="6" s="1"/>
  <c r="J96" i="6" s="1"/>
  <c r="E96" i="6"/>
  <c r="L96" i="6" l="1"/>
  <c r="D184" i="2"/>
  <c r="H184" i="2"/>
  <c r="D96" i="6"/>
  <c r="H96" i="6" s="1"/>
  <c r="F184" i="2"/>
  <c r="A185" i="2" s="1"/>
  <c r="C185" i="2" s="1"/>
  <c r="G96" i="6"/>
  <c r="F96" i="6"/>
  <c r="A97" i="6" s="1"/>
  <c r="K97" i="6" l="1"/>
  <c r="E185" i="2"/>
  <c r="G185" i="2" s="1"/>
  <c r="B185" i="2"/>
  <c r="B97" i="6"/>
  <c r="C97" i="6"/>
  <c r="I97" i="6" s="1"/>
  <c r="J97" i="6" s="1"/>
  <c r="L97" i="6" s="1"/>
  <c r="E97" i="6"/>
  <c r="G97" i="6" s="1"/>
  <c r="D185" i="2" l="1"/>
  <c r="F185" i="2"/>
  <c r="A186" i="2" s="1"/>
  <c r="B186" i="2" s="1"/>
  <c r="H185" i="2"/>
  <c r="F97" i="6"/>
  <c r="A98" i="6" s="1"/>
  <c r="D97" i="6"/>
  <c r="H97" i="6" s="1"/>
  <c r="E186" i="2" l="1"/>
  <c r="G186" i="2" s="1"/>
  <c r="C186" i="2"/>
  <c r="D186" i="2" s="1"/>
  <c r="H186" i="2" s="1"/>
  <c r="K98" i="6"/>
  <c r="C98" i="6"/>
  <c r="I98" i="6" s="1"/>
  <c r="J98" i="6" s="1"/>
  <c r="B98" i="6"/>
  <c r="E98" i="6"/>
  <c r="G98" i="6" s="1"/>
  <c r="L98" i="6" l="1"/>
  <c r="F186" i="2"/>
  <c r="A187" i="2" s="1"/>
  <c r="F98" i="6"/>
  <c r="A99" i="6" s="1"/>
  <c r="D98" i="6"/>
  <c r="H98" i="6" s="1"/>
  <c r="B187" i="2" l="1"/>
  <c r="E187" i="2"/>
  <c r="G187" i="2" s="1"/>
  <c r="C187" i="2"/>
  <c r="K99" i="6"/>
  <c r="B99" i="6"/>
  <c r="E99" i="6"/>
  <c r="G99" i="6" s="1"/>
  <c r="C99" i="6"/>
  <c r="I99" i="6" s="1"/>
  <c r="J99" i="6" s="1"/>
  <c r="L99" i="6" s="1"/>
  <c r="D187" i="2" l="1"/>
  <c r="H187" i="2" s="1"/>
  <c r="F187" i="2"/>
  <c r="A188" i="2" s="1"/>
  <c r="F99" i="6"/>
  <c r="A100" i="6" s="1"/>
  <c r="D99" i="6"/>
  <c r="H99" i="6" s="1"/>
  <c r="B188" i="2" l="1"/>
  <c r="E188" i="2"/>
  <c r="F188" i="2" s="1"/>
  <c r="A189" i="2" s="1"/>
  <c r="C188" i="2"/>
  <c r="K100" i="6"/>
  <c r="B100" i="6"/>
  <c r="E100" i="6"/>
  <c r="G100" i="6" s="1"/>
  <c r="C100" i="6"/>
  <c r="D100" i="6" s="1"/>
  <c r="H100" i="6" s="1"/>
  <c r="D188" i="2" l="1"/>
  <c r="H188" i="2" s="1"/>
  <c r="I100" i="6"/>
  <c r="J100" i="6" s="1"/>
  <c r="L100" i="6" s="1"/>
  <c r="F100" i="6"/>
  <c r="A101" i="6" s="1"/>
  <c r="K101" i="6" s="1"/>
  <c r="B189" i="2"/>
  <c r="E189" i="2"/>
  <c r="C189" i="2"/>
  <c r="D189" i="2" s="1"/>
  <c r="G188" i="2"/>
  <c r="B101" i="6" l="1"/>
  <c r="C101" i="6"/>
  <c r="I101" i="6" s="1"/>
  <c r="J101" i="6" s="1"/>
  <c r="L101" i="6" s="1"/>
  <c r="E101" i="6"/>
  <c r="G101" i="6" s="1"/>
  <c r="G189" i="2"/>
  <c r="F189" i="2"/>
  <c r="A190" i="2" s="1"/>
  <c r="H189" i="2"/>
  <c r="F101" i="6" l="1"/>
  <c r="A102" i="6" s="1"/>
  <c r="D101" i="6"/>
  <c r="H101" i="6" s="1"/>
  <c r="E190" i="2"/>
  <c r="G190" i="2" s="1"/>
  <c r="C190" i="2"/>
  <c r="B190" i="2"/>
  <c r="F190" i="2" s="1"/>
  <c r="A191" i="2" s="1"/>
  <c r="B191" i="2" s="1"/>
  <c r="K102" i="6"/>
  <c r="B102" i="6"/>
  <c r="C102" i="6"/>
  <c r="I102" i="6" s="1"/>
  <c r="J102" i="6" s="1"/>
  <c r="E102" i="6"/>
  <c r="G102" i="6" s="1"/>
  <c r="L102" i="6" l="1"/>
  <c r="E191" i="2"/>
  <c r="G191" i="2" s="1"/>
  <c r="C191" i="2"/>
  <c r="D191" i="2" s="1"/>
  <c r="D190" i="2"/>
  <c r="H190" i="2" s="1"/>
  <c r="D102" i="6"/>
  <c r="H102" i="6" s="1"/>
  <c r="F191" i="2"/>
  <c r="A192" i="2" s="1"/>
  <c r="F102" i="6"/>
  <c r="A103" i="6" s="1"/>
  <c r="H191" i="2" l="1"/>
  <c r="K103" i="6"/>
  <c r="E103" i="6"/>
  <c r="G103" i="6" s="1"/>
  <c r="C103" i="6"/>
  <c r="B103" i="6"/>
  <c r="C192" i="2"/>
  <c r="B192" i="2"/>
  <c r="E192" i="2"/>
  <c r="G192" i="2" s="1"/>
  <c r="D103" i="6" l="1"/>
  <c r="H103" i="6" s="1"/>
  <c r="F103" i="6"/>
  <c r="A104" i="6" s="1"/>
  <c r="E104" i="6" s="1"/>
  <c r="G104" i="6" s="1"/>
  <c r="I103" i="6"/>
  <c r="J103" i="6" s="1"/>
  <c r="L103" i="6" s="1"/>
  <c r="D192" i="2"/>
  <c r="H192" i="2" s="1"/>
  <c r="F192" i="2"/>
  <c r="A193" i="2" s="1"/>
  <c r="B104" i="6" l="1"/>
  <c r="F104" i="6" s="1"/>
  <c r="A105" i="6" s="1"/>
  <c r="K104" i="6"/>
  <c r="C104" i="6"/>
  <c r="D104" i="6" s="1"/>
  <c r="H104" i="6" s="1"/>
  <c r="K105" i="6"/>
  <c r="B105" i="6"/>
  <c r="E105" i="6"/>
  <c r="G105" i="6" s="1"/>
  <c r="C105" i="6"/>
  <c r="I105" i="6" s="1"/>
  <c r="C193" i="2"/>
  <c r="B193" i="2"/>
  <c r="E193" i="2"/>
  <c r="G193" i="2" s="1"/>
  <c r="F105" i="6" l="1"/>
  <c r="A106" i="6" s="1"/>
  <c r="I104" i="6"/>
  <c r="J104" i="6" s="1"/>
  <c r="L104" i="6" s="1"/>
  <c r="K106" i="6"/>
  <c r="D193" i="2"/>
  <c r="H193" i="2" s="1"/>
  <c r="F193" i="2"/>
  <c r="A194" i="2" s="1"/>
  <c r="C106" i="6"/>
  <c r="I106" i="6" s="1"/>
  <c r="E106" i="6"/>
  <c r="G106" i="6" s="1"/>
  <c r="B106" i="6"/>
  <c r="D105" i="6"/>
  <c r="H105" i="6" s="1"/>
  <c r="J105" i="6" l="1"/>
  <c r="L105" i="6" s="1"/>
  <c r="D106" i="6"/>
  <c r="H106" i="6" s="1"/>
  <c r="F106" i="6"/>
  <c r="A107" i="6" s="1"/>
  <c r="B194" i="2"/>
  <c r="E194" i="2"/>
  <c r="F194" i="2" s="1"/>
  <c r="A195" i="2" s="1"/>
  <c r="C194" i="2"/>
  <c r="J106" i="6" l="1"/>
  <c r="L106" i="6" s="1"/>
  <c r="K107" i="6"/>
  <c r="B107" i="6"/>
  <c r="C107" i="6"/>
  <c r="I107" i="6" s="1"/>
  <c r="J107" i="6" s="1"/>
  <c r="L107" i="6" s="1"/>
  <c r="E107" i="6"/>
  <c r="G107" i="6" s="1"/>
  <c r="D194" i="2"/>
  <c r="H194" i="2" s="1"/>
  <c r="G194" i="2"/>
  <c r="C195" i="2"/>
  <c r="B195" i="2"/>
  <c r="E195" i="2"/>
  <c r="F195" i="2" s="1"/>
  <c r="A196" i="2" s="1"/>
  <c r="F107" i="6" l="1"/>
  <c r="A108" i="6" s="1"/>
  <c r="D107" i="6"/>
  <c r="H107" i="6" s="1"/>
  <c r="G195" i="2"/>
  <c r="D195" i="2"/>
  <c r="H195" i="2" s="1"/>
  <c r="B196" i="2"/>
  <c r="E196" i="2"/>
  <c r="G196" i="2" s="1"/>
  <c r="C196" i="2"/>
  <c r="K108" i="6" l="1"/>
  <c r="E108" i="6"/>
  <c r="G108" i="6" s="1"/>
  <c r="C108" i="6"/>
  <c r="I108" i="6" s="1"/>
  <c r="J108" i="6" s="1"/>
  <c r="L108" i="6" s="1"/>
  <c r="B108" i="6"/>
  <c r="F108" i="6" s="1"/>
  <c r="A109" i="6" s="1"/>
  <c r="D196" i="2"/>
  <c r="H196" i="2" s="1"/>
  <c r="F196" i="2"/>
  <c r="A197" i="2" s="1"/>
  <c r="D108" i="6" l="1"/>
  <c r="H108" i="6" s="1"/>
  <c r="K109" i="6"/>
  <c r="E109" i="6"/>
  <c r="G109" i="6" s="1"/>
  <c r="C109" i="6"/>
  <c r="I109" i="6" s="1"/>
  <c r="J109" i="6" s="1"/>
  <c r="L109" i="6" s="1"/>
  <c r="B109" i="6"/>
  <c r="C197" i="2"/>
  <c r="B197" i="2"/>
  <c r="E197" i="2"/>
  <c r="G197" i="2" s="1"/>
  <c r="D109" i="6" l="1"/>
  <c r="H109" i="6" s="1"/>
  <c r="F109" i="6"/>
  <c r="A110" i="6" s="1"/>
  <c r="K110" i="6" s="1"/>
  <c r="B110" i="6"/>
  <c r="F197" i="2"/>
  <c r="A198" i="2" s="1"/>
  <c r="E198" i="2" s="1"/>
  <c r="D197" i="2"/>
  <c r="H197" i="2" s="1"/>
  <c r="E110" i="6" l="1"/>
  <c r="G110" i="6" s="1"/>
  <c r="C110" i="6"/>
  <c r="I110" i="6" s="1"/>
  <c r="J110" i="6" s="1"/>
  <c r="L110" i="6" s="1"/>
  <c r="C198" i="2"/>
  <c r="B198" i="2"/>
  <c r="F198" i="2" s="1"/>
  <c r="A199" i="2" s="1"/>
  <c r="E199" i="2" s="1"/>
  <c r="G199" i="2" s="1"/>
  <c r="G198" i="2"/>
  <c r="D198" i="2"/>
  <c r="D110" i="6" l="1"/>
  <c r="H110" i="6" s="1"/>
  <c r="F110" i="6"/>
  <c r="A111" i="6" s="1"/>
  <c r="H198" i="2"/>
  <c r="B199" i="2"/>
  <c r="C199" i="2"/>
  <c r="D199" i="2" s="1"/>
  <c r="F199" i="2"/>
  <c r="A200" i="2" s="1"/>
  <c r="K111" i="6" l="1"/>
  <c r="E111" i="6"/>
  <c r="G111" i="6" s="1"/>
  <c r="B111" i="6"/>
  <c r="C111" i="6"/>
  <c r="D111" i="6" s="1"/>
  <c r="H111" i="6" s="1"/>
  <c r="I111" i="6"/>
  <c r="J111" i="6" s="1"/>
  <c r="L111" i="6" s="1"/>
  <c r="F111" i="6"/>
  <c r="A112" i="6" s="1"/>
  <c r="H199" i="2"/>
  <c r="B200" i="2"/>
  <c r="C200" i="2"/>
  <c r="E200" i="2"/>
  <c r="G200" i="2" s="1"/>
  <c r="K112" i="6" l="1"/>
  <c r="C112" i="6"/>
  <c r="B112" i="6"/>
  <c r="E112" i="6"/>
  <c r="G112" i="6" s="1"/>
  <c r="F200" i="2"/>
  <c r="A201" i="2" s="1"/>
  <c r="C201" i="2" s="1"/>
  <c r="D200" i="2"/>
  <c r="H200" i="2" s="1"/>
  <c r="F112" i="6" l="1"/>
  <c r="A113" i="6" s="1"/>
  <c r="I112" i="6"/>
  <c r="J112" i="6" s="1"/>
  <c r="L112" i="6" s="1"/>
  <c r="D112" i="6"/>
  <c r="H112" i="6" s="1"/>
  <c r="B201" i="2"/>
  <c r="E201" i="2"/>
  <c r="G201" i="2" s="1"/>
  <c r="B113" i="6" l="1"/>
  <c r="K113" i="6"/>
  <c r="E113" i="6"/>
  <c r="G113" i="6" s="1"/>
  <c r="C113" i="6"/>
  <c r="F201" i="2"/>
  <c r="A202" i="2" s="1"/>
  <c r="B202" i="2" s="1"/>
  <c r="D201" i="2"/>
  <c r="H201" i="2" s="1"/>
  <c r="I113" i="6" l="1"/>
  <c r="J113" i="6" s="1"/>
  <c r="L113" i="6" s="1"/>
  <c r="D113" i="6"/>
  <c r="H113" i="6" s="1"/>
  <c r="F113" i="6"/>
  <c r="A114" i="6" s="1"/>
  <c r="E202" i="2"/>
  <c r="G202" i="2" s="1"/>
  <c r="C202" i="2"/>
  <c r="K114" i="6" l="1"/>
  <c r="B114" i="6"/>
  <c r="E114" i="6"/>
  <c r="G114" i="6" s="1"/>
  <c r="C114" i="6"/>
  <c r="I114" i="6" s="1"/>
  <c r="J114" i="6" s="1"/>
  <c r="D114" i="6"/>
  <c r="H114" i="6" s="1"/>
  <c r="F114" i="6"/>
  <c r="A115" i="6" s="1"/>
  <c r="D202" i="2"/>
  <c r="H202" i="2" s="1"/>
  <c r="F202" i="2"/>
  <c r="A203" i="2" s="1"/>
  <c r="C203" i="2" s="1"/>
  <c r="K115" i="6"/>
  <c r="B115" i="6"/>
  <c r="C115" i="6"/>
  <c r="E115" i="6"/>
  <c r="G115" i="6" s="1"/>
  <c r="E203" i="2"/>
  <c r="B203" i="2"/>
  <c r="L114" i="6" l="1"/>
  <c r="F115" i="6"/>
  <c r="A116" i="6" s="1"/>
  <c r="D115" i="6"/>
  <c r="H115" i="6" s="1"/>
  <c r="I115" i="6"/>
  <c r="J115" i="6" s="1"/>
  <c r="L115" i="6" s="1"/>
  <c r="K116" i="6"/>
  <c r="C116" i="6"/>
  <c r="I116" i="6" s="1"/>
  <c r="J116" i="6" s="1"/>
  <c r="B116" i="6"/>
  <c r="E116" i="6"/>
  <c r="G116" i="6" s="1"/>
  <c r="F203" i="2"/>
  <c r="A204" i="2" s="1"/>
  <c r="B204" i="2" s="1"/>
  <c r="G203" i="2"/>
  <c r="D203" i="2"/>
  <c r="H203" i="2" s="1"/>
  <c r="L116" i="6" l="1"/>
  <c r="C204" i="2"/>
  <c r="E204" i="2"/>
  <c r="G204" i="2" s="1"/>
  <c r="D116" i="6"/>
  <c r="H116" i="6" s="1"/>
  <c r="F116" i="6"/>
  <c r="A117" i="6" s="1"/>
  <c r="F204" i="2" l="1"/>
  <c r="A205" i="2" s="1"/>
  <c r="D204" i="2"/>
  <c r="H204" i="2" s="1"/>
  <c r="K117" i="6"/>
  <c r="C117" i="6"/>
  <c r="I117" i="6" s="1"/>
  <c r="J117" i="6" s="1"/>
  <c r="E117" i="6"/>
  <c r="G117" i="6" s="1"/>
  <c r="B117" i="6"/>
  <c r="B205" i="2"/>
  <c r="C205" i="2"/>
  <c r="E205" i="2"/>
  <c r="G205" i="2" s="1"/>
  <c r="L117" i="6" l="1"/>
  <c r="F117" i="6"/>
  <c r="A118" i="6" s="1"/>
  <c r="D117" i="6"/>
  <c r="H117" i="6" s="1"/>
  <c r="D205" i="2"/>
  <c r="H205" i="2" s="1"/>
  <c r="F205" i="2"/>
  <c r="A206" i="2" s="1"/>
  <c r="C118" i="6" l="1"/>
  <c r="E118" i="6"/>
  <c r="G118" i="6" s="1"/>
  <c r="B118" i="6"/>
  <c r="I118" i="6"/>
  <c r="J118" i="6" s="1"/>
  <c r="K118" i="6"/>
  <c r="F118" i="6"/>
  <c r="A119" i="6" s="1"/>
  <c r="D118" i="6"/>
  <c r="H118" i="6" s="1"/>
  <c r="B206" i="2"/>
  <c r="C206" i="2"/>
  <c r="E206" i="2"/>
  <c r="G206" i="2" s="1"/>
  <c r="L118" i="6" l="1"/>
  <c r="D206" i="2"/>
  <c r="K119" i="6"/>
  <c r="E119" i="6"/>
  <c r="G119" i="6" s="1"/>
  <c r="B119" i="6"/>
  <c r="C119" i="6"/>
  <c r="D119" i="6" s="1"/>
  <c r="H119" i="6" s="1"/>
  <c r="F206" i="2"/>
  <c r="A207" i="2" s="1"/>
  <c r="H206" i="2"/>
  <c r="F119" i="6" l="1"/>
  <c r="A120" i="6" s="1"/>
  <c r="I119" i="6"/>
  <c r="J119" i="6" s="1"/>
  <c r="L119" i="6" s="1"/>
  <c r="K120" i="6"/>
  <c r="E120" i="6"/>
  <c r="G120" i="6" s="1"/>
  <c r="B120" i="6"/>
  <c r="C120" i="6"/>
  <c r="D120" i="6" s="1"/>
  <c r="H120" i="6" s="1"/>
  <c r="B207" i="2"/>
  <c r="E207" i="2"/>
  <c r="G207" i="2" s="1"/>
  <c r="C207" i="2"/>
  <c r="F120" i="6" l="1"/>
  <c r="A121" i="6" s="1"/>
  <c r="E121" i="6"/>
  <c r="G121" i="6" s="1"/>
  <c r="C121" i="6"/>
  <c r="I121" i="6" s="1"/>
  <c r="B121" i="6"/>
  <c r="I120" i="6"/>
  <c r="J120" i="6" s="1"/>
  <c r="L120" i="6" s="1"/>
  <c r="D207" i="2"/>
  <c r="H207" i="2"/>
  <c r="K121" i="6"/>
  <c r="F207" i="2"/>
  <c r="A208" i="2" s="1"/>
  <c r="D121" i="6"/>
  <c r="H121" i="6" s="1"/>
  <c r="F121" i="6"/>
  <c r="A122" i="6" s="1"/>
  <c r="J121" i="6" l="1"/>
  <c r="L121" i="6"/>
  <c r="K122" i="6"/>
  <c r="E208" i="2"/>
  <c r="G208" i="2" s="1"/>
  <c r="C208" i="2"/>
  <c r="D208" i="2" s="1"/>
  <c r="B208" i="2"/>
  <c r="C122" i="6"/>
  <c r="I122" i="6" s="1"/>
  <c r="J122" i="6" s="1"/>
  <c r="B122" i="6"/>
  <c r="E122" i="6"/>
  <c r="G122" i="6" s="1"/>
  <c r="L122" i="6" l="1"/>
  <c r="F208" i="2"/>
  <c r="A209" i="2" s="1"/>
  <c r="H208" i="2"/>
  <c r="E209" i="2"/>
  <c r="G209" i="2" s="1"/>
  <c r="C209" i="2"/>
  <c r="B209" i="2"/>
  <c r="F122" i="6"/>
  <c r="A123" i="6" s="1"/>
  <c r="D122" i="6"/>
  <c r="H122" i="6" s="1"/>
  <c r="D209" i="2" l="1"/>
  <c r="K123" i="6"/>
  <c r="C123" i="6"/>
  <c r="I123" i="6" s="1"/>
  <c r="J123" i="6" s="1"/>
  <c r="L123" i="6" s="1"/>
  <c r="B123" i="6"/>
  <c r="E123" i="6"/>
  <c r="G123" i="6" s="1"/>
  <c r="F209" i="2"/>
  <c r="A210" i="2" s="1"/>
  <c r="H209" i="2"/>
  <c r="F123" i="6" l="1"/>
  <c r="A124" i="6" s="1"/>
  <c r="D123" i="6"/>
  <c r="H123" i="6" s="1"/>
  <c r="C210" i="2"/>
  <c r="B210" i="2"/>
  <c r="E210" i="2"/>
  <c r="D210" i="2" s="1"/>
  <c r="K124" i="6" l="1"/>
  <c r="B124" i="6"/>
  <c r="E124" i="6"/>
  <c r="G124" i="6" s="1"/>
  <c r="C124" i="6"/>
  <c r="I124" i="6" s="1"/>
  <c r="J124" i="6" s="1"/>
  <c r="L124" i="6" s="1"/>
  <c r="G210" i="2"/>
  <c r="F210" i="2"/>
  <c r="A211" i="2" s="1"/>
  <c r="H210" i="2"/>
  <c r="F124" i="6" l="1"/>
  <c r="A125" i="6" s="1"/>
  <c r="K125" i="6" s="1"/>
  <c r="D124" i="6"/>
  <c r="H124" i="6" s="1"/>
  <c r="C211" i="2"/>
  <c r="B211" i="2"/>
  <c r="E211" i="2"/>
  <c r="G211" i="2" s="1"/>
  <c r="C125" i="6"/>
  <c r="I125" i="6" s="1"/>
  <c r="J125" i="6" s="1"/>
  <c r="E125" i="6"/>
  <c r="G125" i="6" s="1"/>
  <c r="B125" i="6"/>
  <c r="L125" i="6" l="1"/>
  <c r="D125" i="6"/>
  <c r="H125" i="6" s="1"/>
  <c r="F125" i="6"/>
  <c r="A126" i="6" s="1"/>
  <c r="F211" i="2"/>
  <c r="A212" i="2" s="1"/>
  <c r="D211" i="2"/>
  <c r="H211" i="2" s="1"/>
  <c r="K126" i="6" l="1"/>
  <c r="C126" i="6"/>
  <c r="I126" i="6" s="1"/>
  <c r="J126" i="6" s="1"/>
  <c r="L126" i="6" s="1"/>
  <c r="E126" i="6"/>
  <c r="G126" i="6" s="1"/>
  <c r="B126" i="6"/>
  <c r="C212" i="2"/>
  <c r="B212" i="2"/>
  <c r="E212" i="2"/>
  <c r="G212" i="2" s="1"/>
  <c r="F126" i="6" l="1"/>
  <c r="A127" i="6" s="1"/>
  <c r="D126" i="6"/>
  <c r="H126" i="6" s="1"/>
  <c r="K127" i="6"/>
  <c r="E127" i="6"/>
  <c r="G127" i="6" s="1"/>
  <c r="C127" i="6"/>
  <c r="D127" i="6" s="1"/>
  <c r="H127" i="6" s="1"/>
  <c r="B127" i="6"/>
  <c r="F212" i="2"/>
  <c r="A213" i="2" s="1"/>
  <c r="D212" i="2"/>
  <c r="H212" i="2" s="1"/>
  <c r="F127" i="6" l="1"/>
  <c r="A128" i="6" s="1"/>
  <c r="I127" i="6"/>
  <c r="J127" i="6" s="1"/>
  <c r="L127" i="6" s="1"/>
  <c r="K128" i="6"/>
  <c r="E128" i="6"/>
  <c r="G128" i="6" s="1"/>
  <c r="B128" i="6"/>
  <c r="C128" i="6"/>
  <c r="I128" i="6" s="1"/>
  <c r="J128" i="6" s="1"/>
  <c r="L128" i="6" s="1"/>
  <c r="C213" i="2"/>
  <c r="B213" i="2"/>
  <c r="E213" i="2"/>
  <c r="G213" i="2" s="1"/>
  <c r="F128" i="6" l="1"/>
  <c r="A129" i="6" s="1"/>
  <c r="B129" i="6" s="1"/>
  <c r="D128" i="6"/>
  <c r="H128" i="6" s="1"/>
  <c r="D213" i="2"/>
  <c r="H213" i="2" s="1"/>
  <c r="F213" i="2"/>
  <c r="A214" i="2" s="1"/>
  <c r="E129" i="6" l="1"/>
  <c r="G129" i="6" s="1"/>
  <c r="K129" i="6"/>
  <c r="C129" i="6"/>
  <c r="B214" i="2"/>
  <c r="E214" i="2"/>
  <c r="G214" i="2" s="1"/>
  <c r="C214" i="2"/>
  <c r="F129" i="6" l="1"/>
  <c r="A130" i="6" s="1"/>
  <c r="C130" i="6" s="1"/>
  <c r="I130" i="6" s="1"/>
  <c r="E130" i="6"/>
  <c r="G130" i="6" s="1"/>
  <c r="D129" i="6"/>
  <c r="H129" i="6" s="1"/>
  <c r="I129" i="6"/>
  <c r="J129" i="6" s="1"/>
  <c r="L129" i="6" s="1"/>
  <c r="D214" i="2"/>
  <c r="H214" i="2" s="1"/>
  <c r="F214" i="2"/>
  <c r="A215" i="2" s="1"/>
  <c r="B130" i="6" l="1"/>
  <c r="K130" i="6"/>
  <c r="D130" i="6"/>
  <c r="H130" i="6" s="1"/>
  <c r="F130" i="6"/>
  <c r="A131" i="6" s="1"/>
  <c r="J130" i="6"/>
  <c r="C215" i="2"/>
  <c r="E215" i="2"/>
  <c r="F215" i="2" s="1"/>
  <c r="A216" i="2" s="1"/>
  <c r="B215" i="2"/>
  <c r="L130" i="6" l="1"/>
  <c r="E131" i="6"/>
  <c r="G131" i="6" s="1"/>
  <c r="C131" i="6"/>
  <c r="D131" i="6" s="1"/>
  <c r="H131" i="6" s="1"/>
  <c r="B131" i="6"/>
  <c r="F131" i="6" s="1"/>
  <c r="A132" i="6" s="1"/>
  <c r="I131" i="6"/>
  <c r="J131" i="6" s="1"/>
  <c r="K131" i="6"/>
  <c r="G215" i="2"/>
  <c r="B216" i="2"/>
  <c r="E216" i="2"/>
  <c r="F216" i="2" s="1"/>
  <c r="A217" i="2" s="1"/>
  <c r="C216" i="2"/>
  <c r="D215" i="2"/>
  <c r="H215" i="2" s="1"/>
  <c r="L131" i="6" l="1"/>
  <c r="E132" i="6"/>
  <c r="G132" i="6" s="1"/>
  <c r="B132" i="6"/>
  <c r="C132" i="6"/>
  <c r="I132" i="6" s="1"/>
  <c r="J132" i="6" s="1"/>
  <c r="K132" i="6"/>
  <c r="D216" i="2"/>
  <c r="H216" i="2"/>
  <c r="E217" i="2"/>
  <c r="F217" i="2" s="1"/>
  <c r="A218" i="2" s="1"/>
  <c r="B217" i="2"/>
  <c r="C217" i="2"/>
  <c r="D217" i="2" s="1"/>
  <c r="G216" i="2"/>
  <c r="D132" i="6" l="1"/>
  <c r="H132" i="6" s="1"/>
  <c r="L132" i="6"/>
  <c r="F132" i="6"/>
  <c r="A133" i="6" s="1"/>
  <c r="C218" i="2"/>
  <c r="B218" i="2"/>
  <c r="E218" i="2"/>
  <c r="D218" i="2" s="1"/>
  <c r="H217" i="2"/>
  <c r="G217" i="2"/>
  <c r="K133" i="6" l="1"/>
  <c r="C133" i="6"/>
  <c r="E133" i="6"/>
  <c r="G133" i="6" s="1"/>
  <c r="I133" i="6"/>
  <c r="J133" i="6" s="1"/>
  <c r="B133" i="6"/>
  <c r="H218" i="2"/>
  <c r="G218" i="2"/>
  <c r="F218" i="2"/>
  <c r="A219" i="2" s="1"/>
  <c r="L133" i="6" l="1"/>
  <c r="D133" i="6"/>
  <c r="H133" i="6" s="1"/>
  <c r="F133" i="6"/>
  <c r="A134" i="6" s="1"/>
  <c r="E134" i="6" s="1"/>
  <c r="C134" i="6"/>
  <c r="K134" i="6"/>
  <c r="C219" i="2"/>
  <c r="B219" i="2"/>
  <c r="E219" i="2"/>
  <c r="G219" i="2" s="1"/>
  <c r="B134" i="6" l="1"/>
  <c r="G134" i="6"/>
  <c r="F134" i="6"/>
  <c r="A135" i="6" s="1"/>
  <c r="K135" i="6" s="1"/>
  <c r="D134" i="6"/>
  <c r="H134" i="6" s="1"/>
  <c r="I134" i="6"/>
  <c r="J134" i="6" s="1"/>
  <c r="L134" i="6" s="1"/>
  <c r="E135" i="6"/>
  <c r="G135" i="6" s="1"/>
  <c r="D219" i="2"/>
  <c r="H219" i="2" s="1"/>
  <c r="F219" i="2"/>
  <c r="A220" i="2" s="1"/>
  <c r="C135" i="6" l="1"/>
  <c r="I135" i="6" s="1"/>
  <c r="J135" i="6" s="1"/>
  <c r="L135" i="6" s="1"/>
  <c r="B135" i="6"/>
  <c r="F135" i="6"/>
  <c r="A136" i="6" s="1"/>
  <c r="D135" i="6"/>
  <c r="H135" i="6" s="1"/>
  <c r="B220" i="2"/>
  <c r="C220" i="2"/>
  <c r="E220" i="2"/>
  <c r="G220" i="2" s="1"/>
  <c r="D220" i="2" l="1"/>
  <c r="K136" i="6"/>
  <c r="E136" i="6"/>
  <c r="G136" i="6" s="1"/>
  <c r="B136" i="6"/>
  <c r="C136" i="6"/>
  <c r="D136" i="6" s="1"/>
  <c r="H136" i="6" s="1"/>
  <c r="F220" i="2"/>
  <c r="A221" i="2" s="1"/>
  <c r="E221" i="2" s="1"/>
  <c r="G221" i="2" s="1"/>
  <c r="H220" i="2"/>
  <c r="B221" i="2" l="1"/>
  <c r="C221" i="2"/>
  <c r="F136" i="6"/>
  <c r="A137" i="6" s="1"/>
  <c r="I136" i="6"/>
  <c r="J136" i="6" s="1"/>
  <c r="L136" i="6" s="1"/>
  <c r="D221" i="2"/>
  <c r="F221" i="2"/>
  <c r="A222" i="2" s="1"/>
  <c r="H221" i="2"/>
  <c r="B137" i="6" l="1"/>
  <c r="E137" i="6"/>
  <c r="G137" i="6" s="1"/>
  <c r="K137" i="6"/>
  <c r="C137" i="6"/>
  <c r="D137" i="6" s="1"/>
  <c r="H137" i="6" s="1"/>
  <c r="B222" i="2"/>
  <c r="C222" i="2"/>
  <c r="E222" i="2"/>
  <c r="F222" i="2" s="1"/>
  <c r="A223" i="2" s="1"/>
  <c r="I137" i="6" l="1"/>
  <c r="J137" i="6" s="1"/>
  <c r="L137" i="6" s="1"/>
  <c r="F137" i="6"/>
  <c r="A138" i="6" s="1"/>
  <c r="D222" i="2"/>
  <c r="H222" i="2" s="1"/>
  <c r="C223" i="2"/>
  <c r="B223" i="2"/>
  <c r="E223" i="2"/>
  <c r="F223" i="2" s="1"/>
  <c r="A224" i="2" s="1"/>
  <c r="G222" i="2"/>
  <c r="C138" i="6" l="1"/>
  <c r="E138" i="6"/>
  <c r="G138" i="6" s="1"/>
  <c r="K138" i="6"/>
  <c r="B138" i="6"/>
  <c r="I138" i="6"/>
  <c r="J138" i="6" s="1"/>
  <c r="L138" i="6" s="1"/>
  <c r="G223" i="2"/>
  <c r="D223" i="2"/>
  <c r="H223" i="2" s="1"/>
  <c r="E224" i="2"/>
  <c r="G224" i="2" s="1"/>
  <c r="C224" i="2"/>
  <c r="B224" i="2"/>
  <c r="F138" i="6" l="1"/>
  <c r="A139" i="6" s="1"/>
  <c r="B139" i="6" s="1"/>
  <c r="E139" i="6"/>
  <c r="G139" i="6" s="1"/>
  <c r="K139" i="6"/>
  <c r="C139" i="6"/>
  <c r="D139" i="6" s="1"/>
  <c r="H139" i="6" s="1"/>
  <c r="D138" i="6"/>
  <c r="H138" i="6" s="1"/>
  <c r="D224" i="2"/>
  <c r="F224" i="2"/>
  <c r="A225" i="2" s="1"/>
  <c r="C225" i="2" s="1"/>
  <c r="H224" i="2"/>
  <c r="E225" i="2"/>
  <c r="F139" i="6" l="1"/>
  <c r="A140" i="6" s="1"/>
  <c r="B225" i="2"/>
  <c r="F225" i="2"/>
  <c r="A226" i="2" s="1"/>
  <c r="I139" i="6"/>
  <c r="J139" i="6" s="1"/>
  <c r="L139" i="6" s="1"/>
  <c r="B140" i="6"/>
  <c r="C140" i="6"/>
  <c r="I140" i="6" s="1"/>
  <c r="K140" i="6"/>
  <c r="E140" i="6"/>
  <c r="G140" i="6" s="1"/>
  <c r="E226" i="2"/>
  <c r="B226" i="2"/>
  <c r="C226" i="2"/>
  <c r="D226" i="2" s="1"/>
  <c r="G225" i="2"/>
  <c r="D225" i="2"/>
  <c r="H225" i="2" s="1"/>
  <c r="J140" i="6" l="1"/>
  <c r="L140" i="6" s="1"/>
  <c r="G226" i="2"/>
  <c r="F140" i="6"/>
  <c r="A141" i="6" s="1"/>
  <c r="D140" i="6"/>
  <c r="H140" i="6" s="1"/>
  <c r="F226" i="2"/>
  <c r="A227" i="2" s="1"/>
  <c r="B227" i="2" s="1"/>
  <c r="H226" i="2"/>
  <c r="E141" i="6" l="1"/>
  <c r="G141" i="6" s="1"/>
  <c r="B141" i="6"/>
  <c r="F141" i="6" s="1"/>
  <c r="A142" i="6" s="1"/>
  <c r="K141" i="6"/>
  <c r="C141" i="6"/>
  <c r="I141" i="6" s="1"/>
  <c r="J141" i="6" s="1"/>
  <c r="L141" i="6" s="1"/>
  <c r="C227" i="2"/>
  <c r="E227" i="2"/>
  <c r="F227" i="2" s="1"/>
  <c r="A228" i="2" s="1"/>
  <c r="B228" i="2" s="1"/>
  <c r="K142" i="6" l="1"/>
  <c r="E142" i="6"/>
  <c r="G142" i="6" s="1"/>
  <c r="B142" i="6"/>
  <c r="C142" i="6"/>
  <c r="D142" i="6" s="1"/>
  <c r="H142" i="6" s="1"/>
  <c r="D141" i="6"/>
  <c r="H141" i="6" s="1"/>
  <c r="C228" i="2"/>
  <c r="D227" i="2"/>
  <c r="H227" i="2" s="1"/>
  <c r="G227" i="2"/>
  <c r="E228" i="2"/>
  <c r="F228" i="2" s="1"/>
  <c r="A229" i="2" s="1"/>
  <c r="F142" i="6" l="1"/>
  <c r="A143" i="6" s="1"/>
  <c r="I142" i="6"/>
  <c r="J142" i="6" s="1"/>
  <c r="L142" i="6" s="1"/>
  <c r="D228" i="2"/>
  <c r="H228" i="2" s="1"/>
  <c r="B229" i="2"/>
  <c r="E229" i="2"/>
  <c r="G229" i="2" s="1"/>
  <c r="C229" i="2"/>
  <c r="G228" i="2"/>
  <c r="C143" i="6" l="1"/>
  <c r="K143" i="6"/>
  <c r="I143" i="6"/>
  <c r="J143" i="6" s="1"/>
  <c r="E143" i="6"/>
  <c r="G143" i="6" s="1"/>
  <c r="B143" i="6"/>
  <c r="F229" i="2"/>
  <c r="A230" i="2" s="1"/>
  <c r="B230" i="2" s="1"/>
  <c r="D229" i="2"/>
  <c r="H229" i="2" s="1"/>
  <c r="L143" i="6" l="1"/>
  <c r="C230" i="2"/>
  <c r="E230" i="2"/>
  <c r="G230" i="2" s="1"/>
  <c r="F143" i="6"/>
  <c r="A144" i="6" s="1"/>
  <c r="D143" i="6"/>
  <c r="H143" i="6" s="1"/>
  <c r="F230" i="2" l="1"/>
  <c r="A231" i="2" s="1"/>
  <c r="D230" i="2"/>
  <c r="H230" i="2" s="1"/>
  <c r="E144" i="6"/>
  <c r="G144" i="6" s="1"/>
  <c r="C144" i="6"/>
  <c r="B144" i="6"/>
  <c r="K144" i="6"/>
  <c r="C231" i="2"/>
  <c r="B231" i="2"/>
  <c r="E231" i="2"/>
  <c r="G231" i="2" s="1"/>
  <c r="F144" i="6" l="1"/>
  <c r="A145" i="6" s="1"/>
  <c r="D144" i="6"/>
  <c r="H144" i="6" s="1"/>
  <c r="E145" i="6"/>
  <c r="G145" i="6" s="1"/>
  <c r="C145" i="6"/>
  <c r="B145" i="6"/>
  <c r="I145" i="6"/>
  <c r="K145" i="6"/>
  <c r="D145" i="6"/>
  <c r="H145" i="6" s="1"/>
  <c r="I144" i="6"/>
  <c r="J144" i="6" s="1"/>
  <c r="L144" i="6" s="1"/>
  <c r="F231" i="2"/>
  <c r="A232" i="2" s="1"/>
  <c r="D231" i="2"/>
  <c r="H231" i="2" s="1"/>
  <c r="F145" i="6" l="1"/>
  <c r="A146" i="6" s="1"/>
  <c r="C146" i="6"/>
  <c r="E146" i="6"/>
  <c r="G146" i="6" s="1"/>
  <c r="B146" i="6"/>
  <c r="I146" i="6"/>
  <c r="K146" i="6"/>
  <c r="F146" i="6"/>
  <c r="A147" i="6" s="1"/>
  <c r="J145" i="6"/>
  <c r="L145" i="6" s="1"/>
  <c r="E232" i="2"/>
  <c r="G232" i="2" s="1"/>
  <c r="B232" i="2"/>
  <c r="C232" i="2"/>
  <c r="D146" i="6" l="1"/>
  <c r="H146" i="6" s="1"/>
  <c r="C147" i="6"/>
  <c r="K147" i="6"/>
  <c r="E147" i="6"/>
  <c r="G147" i="6" s="1"/>
  <c r="I147" i="6"/>
  <c r="B147" i="6"/>
  <c r="J146" i="6"/>
  <c r="L146" i="6" s="1"/>
  <c r="D232" i="2"/>
  <c r="H232" i="2" s="1"/>
  <c r="F232" i="2"/>
  <c r="A233" i="2" s="1"/>
  <c r="D147" i="6" l="1"/>
  <c r="H147" i="6" s="1"/>
  <c r="J147" i="6"/>
  <c r="L147" i="6" s="1"/>
  <c r="F147" i="6"/>
  <c r="A148" i="6" s="1"/>
  <c r="B233" i="2"/>
  <c r="E233" i="2"/>
  <c r="G233" i="2" s="1"/>
  <c r="C233" i="2"/>
  <c r="D233" i="2" l="1"/>
  <c r="B148" i="6"/>
  <c r="E148" i="6"/>
  <c r="G148" i="6" s="1"/>
  <c r="C148" i="6"/>
  <c r="D148" i="6" s="1"/>
  <c r="H148" i="6" s="1"/>
  <c r="K148" i="6"/>
  <c r="F233" i="2"/>
  <c r="A234" i="2" s="1"/>
  <c r="C234" i="2" s="1"/>
  <c r="H233" i="2"/>
  <c r="B234" i="2" l="1"/>
  <c r="E234" i="2"/>
  <c r="F234" i="2" s="1"/>
  <c r="A235" i="2" s="1"/>
  <c r="F148" i="6"/>
  <c r="A149" i="6" s="1"/>
  <c r="I148" i="6"/>
  <c r="J148" i="6" s="1"/>
  <c r="L148" i="6" s="1"/>
  <c r="D234" i="2"/>
  <c r="H234" i="2" s="1"/>
  <c r="G234" i="2"/>
  <c r="C235" i="2"/>
  <c r="E235" i="2"/>
  <c r="B235" i="2"/>
  <c r="D235" i="2" l="1"/>
  <c r="E149" i="6"/>
  <c r="G149" i="6" s="1"/>
  <c r="C149" i="6"/>
  <c r="B149" i="6"/>
  <c r="I149" i="6"/>
  <c r="J149" i="6" s="1"/>
  <c r="K149" i="6"/>
  <c r="F149" i="6"/>
  <c r="A150" i="6" s="1"/>
  <c r="G235" i="2"/>
  <c r="H235" i="2"/>
  <c r="F235" i="2"/>
  <c r="A236" i="2" s="1"/>
  <c r="L149" i="6" l="1"/>
  <c r="K150" i="6"/>
  <c r="C150" i="6"/>
  <c r="I150" i="6" s="1"/>
  <c r="J150" i="6" s="1"/>
  <c r="B150" i="6"/>
  <c r="E150" i="6"/>
  <c r="G150" i="6" s="1"/>
  <c r="D149" i="6"/>
  <c r="H149" i="6" s="1"/>
  <c r="E236" i="2"/>
  <c r="G236" i="2" s="1"/>
  <c r="C236" i="2"/>
  <c r="B236" i="2"/>
  <c r="L150" i="6" l="1"/>
  <c r="F150" i="6"/>
  <c r="A151" i="6" s="1"/>
  <c r="D150" i="6"/>
  <c r="H150" i="6" s="1"/>
  <c r="F236" i="2"/>
  <c r="A237" i="2" s="1"/>
  <c r="E237" i="2" s="1"/>
  <c r="G237" i="2" s="1"/>
  <c r="D236" i="2"/>
  <c r="H236" i="2" s="1"/>
  <c r="C237" i="2" l="1"/>
  <c r="B237" i="2"/>
  <c r="F237" i="2" s="1"/>
  <c r="A238" i="2" s="1"/>
  <c r="D237" i="2"/>
  <c r="E151" i="6"/>
  <c r="G151" i="6" s="1"/>
  <c r="C151" i="6"/>
  <c r="I151" i="6" s="1"/>
  <c r="J151" i="6" s="1"/>
  <c r="K151" i="6"/>
  <c r="B151" i="6"/>
  <c r="F151" i="6" s="1"/>
  <c r="A152" i="6" s="1"/>
  <c r="D151" i="6"/>
  <c r="H151" i="6" s="1"/>
  <c r="H237" i="2"/>
  <c r="E238" i="2" l="1"/>
  <c r="G238" i="2" s="1"/>
  <c r="C238" i="2"/>
  <c r="D238" i="2" s="1"/>
  <c r="H238" i="2" s="1"/>
  <c r="B238" i="2"/>
  <c r="L151" i="6"/>
  <c r="B152" i="6"/>
  <c r="E152" i="6"/>
  <c r="G152" i="6" s="1"/>
  <c r="K152" i="6"/>
  <c r="C152" i="6"/>
  <c r="I152" i="6" s="1"/>
  <c r="J152" i="6" s="1"/>
  <c r="F238" i="2"/>
  <c r="A239" i="2" s="1"/>
  <c r="B239" i="2" s="1"/>
  <c r="L152" i="6" l="1"/>
  <c r="E239" i="2"/>
  <c r="G239" i="2" s="1"/>
  <c r="C239" i="2"/>
  <c r="F152" i="6"/>
  <c r="A153" i="6" s="1"/>
  <c r="D152" i="6"/>
  <c r="H152" i="6" s="1"/>
  <c r="F239" i="2"/>
  <c r="A240" i="2" s="1"/>
  <c r="E240" i="2" s="1"/>
  <c r="G240" i="2" s="1"/>
  <c r="D239" i="2"/>
  <c r="H239" i="2" s="1"/>
  <c r="C240" i="2" l="1"/>
  <c r="B240" i="2"/>
  <c r="K153" i="6"/>
  <c r="E153" i="6"/>
  <c r="G153" i="6" s="1"/>
  <c r="C153" i="6"/>
  <c r="I153" i="6"/>
  <c r="J153" i="6" s="1"/>
  <c r="B153" i="6"/>
  <c r="F153" i="6"/>
  <c r="A154" i="6" s="1"/>
  <c r="F240" i="2"/>
  <c r="A241" i="2" s="1"/>
  <c r="C241" i="2" s="1"/>
  <c r="D240" i="2"/>
  <c r="H240" i="2"/>
  <c r="L153" i="6" l="1"/>
  <c r="B154" i="6"/>
  <c r="K154" i="6"/>
  <c r="C154" i="6"/>
  <c r="I154" i="6" s="1"/>
  <c r="J154" i="6" s="1"/>
  <c r="E154" i="6"/>
  <c r="G154" i="6" s="1"/>
  <c r="D153" i="6"/>
  <c r="H153" i="6" s="1"/>
  <c r="E241" i="2"/>
  <c r="G241" i="2" s="1"/>
  <c r="B241" i="2"/>
  <c r="L154" i="6" l="1"/>
  <c r="F154" i="6"/>
  <c r="A155" i="6" s="1"/>
  <c r="D154" i="6"/>
  <c r="H154" i="6" s="1"/>
  <c r="F241" i="2"/>
  <c r="A242" i="2" s="1"/>
  <c r="B242" i="2" s="1"/>
  <c r="D241" i="2"/>
  <c r="H241" i="2" s="1"/>
  <c r="C155" i="6" l="1"/>
  <c r="K155" i="6"/>
  <c r="I155" i="6"/>
  <c r="J155" i="6" s="1"/>
  <c r="L155" i="6" s="1"/>
  <c r="B155" i="6"/>
  <c r="E155" i="6"/>
  <c r="G155" i="6" s="1"/>
  <c r="C242" i="2"/>
  <c r="E242" i="2"/>
  <c r="F155" i="6" l="1"/>
  <c r="A156" i="6" s="1"/>
  <c r="D155" i="6"/>
  <c r="H155" i="6" s="1"/>
  <c r="G242" i="2"/>
  <c r="F242" i="2"/>
  <c r="A243" i="2" s="1"/>
  <c r="D242" i="2"/>
  <c r="H242" i="2" s="1"/>
  <c r="C156" i="6" l="1"/>
  <c r="I156" i="6" s="1"/>
  <c r="J156" i="6" s="1"/>
  <c r="K156" i="6"/>
  <c r="B156" i="6"/>
  <c r="E156" i="6"/>
  <c r="G156" i="6" s="1"/>
  <c r="C243" i="2"/>
  <c r="E243" i="2"/>
  <c r="G243" i="2" s="1"/>
  <c r="B243" i="2"/>
  <c r="L156" i="6" l="1"/>
  <c r="D243" i="2"/>
  <c r="F156" i="6"/>
  <c r="A157" i="6" s="1"/>
  <c r="D156" i="6"/>
  <c r="H156" i="6" s="1"/>
  <c r="F243" i="2"/>
  <c r="A244" i="2" s="1"/>
  <c r="H243" i="2"/>
  <c r="E157" i="6" l="1"/>
  <c r="G157" i="6" s="1"/>
  <c r="K157" i="6"/>
  <c r="C157" i="6"/>
  <c r="I157" i="6" s="1"/>
  <c r="J157" i="6" s="1"/>
  <c r="B157" i="6"/>
  <c r="F157" i="6"/>
  <c r="A158" i="6" s="1"/>
  <c r="C244" i="2"/>
  <c r="E244" i="2"/>
  <c r="G244" i="2" s="1"/>
  <c r="B244" i="2"/>
  <c r="L157" i="6" l="1"/>
  <c r="D157" i="6"/>
  <c r="H157" i="6" s="1"/>
  <c r="D244" i="2"/>
  <c r="B158" i="6"/>
  <c r="C158" i="6"/>
  <c r="I158" i="6" s="1"/>
  <c r="J158" i="6" s="1"/>
  <c r="E158" i="6"/>
  <c r="G158" i="6" s="1"/>
  <c r="K158" i="6"/>
  <c r="H244" i="2"/>
  <c r="F244" i="2"/>
  <c r="A245" i="2" s="1"/>
  <c r="L158" i="6" l="1"/>
  <c r="F158" i="6"/>
  <c r="A159" i="6" s="1"/>
  <c r="D158" i="6"/>
  <c r="H158" i="6" s="1"/>
  <c r="E245" i="2"/>
  <c r="G245" i="2" s="1"/>
  <c r="C245" i="2"/>
  <c r="B245" i="2"/>
  <c r="D245" i="2" l="1"/>
  <c r="H245" i="2" s="1"/>
  <c r="K159" i="6"/>
  <c r="E159" i="6"/>
  <c r="G159" i="6" s="1"/>
  <c r="B159" i="6"/>
  <c r="C159" i="6"/>
  <c r="I159" i="6" s="1"/>
  <c r="J159" i="6" s="1"/>
  <c r="L159" i="6" s="1"/>
  <c r="F245" i="2"/>
  <c r="A246" i="2" s="1"/>
  <c r="D159" i="6" l="1"/>
  <c r="H159" i="6" s="1"/>
  <c r="F159" i="6"/>
  <c r="A160" i="6" s="1"/>
  <c r="C246" i="2"/>
  <c r="E246" i="2"/>
  <c r="F246" i="2" s="1"/>
  <c r="A247" i="2" s="1"/>
  <c r="B246" i="2"/>
  <c r="B160" i="6" l="1"/>
  <c r="C160" i="6"/>
  <c r="K160" i="6"/>
  <c r="E160" i="6"/>
  <c r="G160" i="6" s="1"/>
  <c r="I160" i="6"/>
  <c r="J160" i="6" s="1"/>
  <c r="G246" i="2"/>
  <c r="E247" i="2"/>
  <c r="F247" i="2" s="1"/>
  <c r="A248" i="2" s="1"/>
  <c r="B247" i="2"/>
  <c r="C247" i="2"/>
  <c r="D247" i="2" s="1"/>
  <c r="D246" i="2"/>
  <c r="H246" i="2" s="1"/>
  <c r="G247" i="2" l="1"/>
  <c r="L160" i="6"/>
  <c r="D160" i="6"/>
  <c r="H160" i="6" s="1"/>
  <c r="F160" i="6"/>
  <c r="A161" i="6" s="1"/>
  <c r="H247" i="2"/>
  <c r="E248" i="2"/>
  <c r="G248" i="2" s="1"/>
  <c r="B248" i="2"/>
  <c r="C248" i="2"/>
  <c r="D248" i="2" s="1"/>
  <c r="K161" i="6" l="1"/>
  <c r="E161" i="6"/>
  <c r="G161" i="6" s="1"/>
  <c r="C161" i="6"/>
  <c r="D161" i="6" s="1"/>
  <c r="H161" i="6" s="1"/>
  <c r="B161" i="6"/>
  <c r="F161" i="6" s="1"/>
  <c r="A162" i="6" s="1"/>
  <c r="F248" i="2"/>
  <c r="A249" i="2" s="1"/>
  <c r="H248" i="2"/>
  <c r="E162" i="6" l="1"/>
  <c r="G162" i="6" s="1"/>
  <c r="K162" i="6"/>
  <c r="C162" i="6"/>
  <c r="D162" i="6" s="1"/>
  <c r="H162" i="6" s="1"/>
  <c r="B162" i="6"/>
  <c r="F162" i="6" s="1"/>
  <c r="A163" i="6" s="1"/>
  <c r="I161" i="6"/>
  <c r="J161" i="6" s="1"/>
  <c r="L161" i="6" s="1"/>
  <c r="E249" i="2"/>
  <c r="G249" i="2" s="1"/>
  <c r="B249" i="2"/>
  <c r="C249" i="2"/>
  <c r="D249" i="2" s="1"/>
  <c r="I162" i="6" l="1"/>
  <c r="J162" i="6" s="1"/>
  <c r="L162" i="6" s="1"/>
  <c r="F249" i="2"/>
  <c r="A250" i="2" s="1"/>
  <c r="E163" i="6"/>
  <c r="G163" i="6" s="1"/>
  <c r="K163" i="6"/>
  <c r="C163" i="6"/>
  <c r="D163" i="6" s="1"/>
  <c r="H163" i="6" s="1"/>
  <c r="B163" i="6"/>
  <c r="H249" i="2"/>
  <c r="E250" i="2"/>
  <c r="G250" i="2" s="1"/>
  <c r="B250" i="2"/>
  <c r="C250" i="2"/>
  <c r="D250" i="2" s="1"/>
  <c r="F163" i="6" l="1"/>
  <c r="A164" i="6" s="1"/>
  <c r="C164" i="6"/>
  <c r="I164" i="6" s="1"/>
  <c r="B164" i="6"/>
  <c r="K164" i="6"/>
  <c r="E164" i="6"/>
  <c r="G164" i="6" s="1"/>
  <c r="I163" i="6"/>
  <c r="J163" i="6" s="1"/>
  <c r="L163" i="6" s="1"/>
  <c r="H250" i="2"/>
  <c r="F250" i="2"/>
  <c r="A251" i="2" s="1"/>
  <c r="F164" i="6" l="1"/>
  <c r="A165" i="6" s="1"/>
  <c r="J164" i="6"/>
  <c r="L164" i="6" s="1"/>
  <c r="K165" i="6"/>
  <c r="E165" i="6"/>
  <c r="G165" i="6" s="1"/>
  <c r="C165" i="6"/>
  <c r="B165" i="6"/>
  <c r="D164" i="6"/>
  <c r="H164" i="6" s="1"/>
  <c r="C251" i="2"/>
  <c r="B251" i="2"/>
  <c r="E251" i="2"/>
  <c r="G251" i="2" s="1"/>
  <c r="F165" i="6" l="1"/>
  <c r="A166" i="6" s="1"/>
  <c r="B166" i="6"/>
  <c r="C166" i="6"/>
  <c r="I166" i="6" s="1"/>
  <c r="K166" i="6"/>
  <c r="E166" i="6"/>
  <c r="G166" i="6" s="1"/>
  <c r="D165" i="6"/>
  <c r="H165" i="6" s="1"/>
  <c r="I165" i="6"/>
  <c r="J165" i="6" s="1"/>
  <c r="L165" i="6" s="1"/>
  <c r="F251" i="2"/>
  <c r="A252" i="2" s="1"/>
  <c r="D251" i="2"/>
  <c r="H251" i="2" s="1"/>
  <c r="J166" i="6" l="1"/>
  <c r="L166" i="6" s="1"/>
  <c r="F166" i="6"/>
  <c r="A167" i="6" s="1"/>
  <c r="D166" i="6"/>
  <c r="H166" i="6" s="1"/>
  <c r="B252" i="2"/>
  <c r="E252" i="2"/>
  <c r="G252" i="2" s="1"/>
  <c r="C252" i="2"/>
  <c r="D252" i="2" s="1"/>
  <c r="H252" i="2" s="1"/>
  <c r="F252" i="2" l="1"/>
  <c r="A253" i="2" s="1"/>
  <c r="B167" i="6"/>
  <c r="K167" i="6"/>
  <c r="C167" i="6"/>
  <c r="I167" i="6" s="1"/>
  <c r="J167" i="6" s="1"/>
  <c r="E167" i="6"/>
  <c r="G167" i="6" s="1"/>
  <c r="E253" i="2"/>
  <c r="G253" i="2" s="1"/>
  <c r="B253" i="2"/>
  <c r="C253" i="2"/>
  <c r="D253" i="2" s="1"/>
  <c r="F253" i="2"/>
  <c r="A254" i="2" s="1"/>
  <c r="L167" i="6" l="1"/>
  <c r="F167" i="6"/>
  <c r="A168" i="6" s="1"/>
  <c r="D167" i="6"/>
  <c r="H167" i="6" s="1"/>
  <c r="E254" i="2"/>
  <c r="G254" i="2" s="1"/>
  <c r="B254" i="2"/>
  <c r="C254" i="2"/>
  <c r="D254" i="2" s="1"/>
  <c r="H253" i="2"/>
  <c r="F254" i="2" l="1"/>
  <c r="A255" i="2" s="1"/>
  <c r="C168" i="6"/>
  <c r="I168" i="6" s="1"/>
  <c r="J168" i="6" s="1"/>
  <c r="E168" i="6"/>
  <c r="G168" i="6" s="1"/>
  <c r="K168" i="6"/>
  <c r="B168" i="6"/>
  <c r="F168" i="6"/>
  <c r="A169" i="6" s="1"/>
  <c r="H254" i="2"/>
  <c r="C255" i="2"/>
  <c r="E255" i="2"/>
  <c r="G255" i="2" s="1"/>
  <c r="B255" i="2"/>
  <c r="F255" i="2" l="1"/>
  <c r="A256" i="2" s="1"/>
  <c r="D255" i="2"/>
  <c r="H255" i="2" s="1"/>
  <c r="L168" i="6"/>
  <c r="D168" i="6"/>
  <c r="H168" i="6" s="1"/>
  <c r="K169" i="6"/>
  <c r="C169" i="6"/>
  <c r="E169" i="6"/>
  <c r="G169" i="6" s="1"/>
  <c r="I169" i="6"/>
  <c r="J169" i="6" s="1"/>
  <c r="B169" i="6"/>
  <c r="E256" i="2"/>
  <c r="G256" i="2" s="1"/>
  <c r="C256" i="2"/>
  <c r="B256" i="2"/>
  <c r="F169" i="6" l="1"/>
  <c r="A170" i="6" s="1"/>
  <c r="D256" i="2"/>
  <c r="H256" i="2" s="1"/>
  <c r="F256" i="2"/>
  <c r="A257" i="2" s="1"/>
  <c r="L169" i="6"/>
  <c r="B170" i="6"/>
  <c r="C170" i="6"/>
  <c r="E170" i="6"/>
  <c r="G170" i="6" s="1"/>
  <c r="K170" i="6"/>
  <c r="I170" i="6"/>
  <c r="J170" i="6" s="1"/>
  <c r="D169" i="6"/>
  <c r="H169" i="6" s="1"/>
  <c r="B257" i="2"/>
  <c r="C257" i="2"/>
  <c r="E257" i="2"/>
  <c r="G257" i="2" s="1"/>
  <c r="L170" i="6" l="1"/>
  <c r="D170" i="6"/>
  <c r="H170" i="6" s="1"/>
  <c r="F170" i="6"/>
  <c r="A171" i="6" s="1"/>
  <c r="D257" i="2"/>
  <c r="H257" i="2" s="1"/>
  <c r="F257" i="2"/>
  <c r="A258" i="2" s="1"/>
  <c r="B171" i="6" l="1"/>
  <c r="C171" i="6"/>
  <c r="E171" i="6"/>
  <c r="G171" i="6" s="1"/>
  <c r="K171" i="6"/>
  <c r="I171" i="6"/>
  <c r="J171" i="6" s="1"/>
  <c r="L171" i="6" s="1"/>
  <c r="F171" i="6"/>
  <c r="A172" i="6" s="1"/>
  <c r="B258" i="2"/>
  <c r="E258" i="2"/>
  <c r="G258" i="2" s="1"/>
  <c r="C258" i="2"/>
  <c r="D171" i="6" l="1"/>
  <c r="H171" i="6" s="1"/>
  <c r="D258" i="2"/>
  <c r="H258" i="2" s="1"/>
  <c r="F258" i="2"/>
  <c r="A259" i="2" s="1"/>
  <c r="B172" i="6"/>
  <c r="E172" i="6"/>
  <c r="G172" i="6" s="1"/>
  <c r="K172" i="6"/>
  <c r="C172" i="6"/>
  <c r="D172" i="6" s="1"/>
  <c r="H172" i="6" s="1"/>
  <c r="B259" i="2"/>
  <c r="C259" i="2"/>
  <c r="E259" i="2"/>
  <c r="G259" i="2" s="1"/>
  <c r="F259" i="2" l="1"/>
  <c r="A260" i="2" s="1"/>
  <c r="I172" i="6"/>
  <c r="J172" i="6" s="1"/>
  <c r="L172" i="6" s="1"/>
  <c r="F172" i="6"/>
  <c r="A173" i="6" s="1"/>
  <c r="D259" i="2"/>
  <c r="H259" i="2" s="1"/>
  <c r="B260" i="2"/>
  <c r="E260" i="2"/>
  <c r="C260" i="2"/>
  <c r="B173" i="6" l="1"/>
  <c r="C173" i="6"/>
  <c r="E173" i="6"/>
  <c r="G173" i="6" s="1"/>
  <c r="I173" i="6"/>
  <c r="J173" i="6" s="1"/>
  <c r="K173" i="6"/>
  <c r="D173" i="6"/>
  <c r="H173" i="6" s="1"/>
  <c r="F173" i="6"/>
  <c r="A174" i="6" s="1"/>
  <c r="D260" i="2"/>
  <c r="F260" i="2"/>
  <c r="A261" i="2" s="1"/>
  <c r="G260" i="2"/>
  <c r="H260" i="2"/>
  <c r="L173" i="6" l="1"/>
  <c r="E174" i="6"/>
  <c r="G174" i="6" s="1"/>
  <c r="C174" i="6"/>
  <c r="D174" i="6" s="1"/>
  <c r="H174" i="6" s="1"/>
  <c r="B174" i="6"/>
  <c r="F174" i="6" s="1"/>
  <c r="A175" i="6" s="1"/>
  <c r="K174" i="6"/>
  <c r="I174" i="6"/>
  <c r="J174" i="6" s="1"/>
  <c r="L174" i="6" s="1"/>
  <c r="E261" i="2"/>
  <c r="G261" i="2" s="1"/>
  <c r="B261" i="2"/>
  <c r="C261" i="2"/>
  <c r="D261" i="2" s="1"/>
  <c r="F261" i="2" l="1"/>
  <c r="A262" i="2" s="1"/>
  <c r="C175" i="6"/>
  <c r="I175" i="6" s="1"/>
  <c r="J175" i="6" s="1"/>
  <c r="E175" i="6"/>
  <c r="G175" i="6" s="1"/>
  <c r="K175" i="6"/>
  <c r="B175" i="6"/>
  <c r="B262" i="2"/>
  <c r="C262" i="2"/>
  <c r="E262" i="2"/>
  <c r="G262" i="2" s="1"/>
  <c r="H261" i="2"/>
  <c r="L175" i="6" l="1"/>
  <c r="D175" i="6"/>
  <c r="H175" i="6" s="1"/>
  <c r="F175" i="6"/>
  <c r="A176" i="6" s="1"/>
  <c r="F262" i="2"/>
  <c r="A263" i="2" s="1"/>
  <c r="D262" i="2"/>
  <c r="H262" i="2"/>
  <c r="B176" i="6" l="1"/>
  <c r="E176" i="6"/>
  <c r="G176" i="6" s="1"/>
  <c r="C176" i="6"/>
  <c r="I176" i="6" s="1"/>
  <c r="J176" i="6" s="1"/>
  <c r="K176" i="6"/>
  <c r="F176" i="6"/>
  <c r="A177" i="6" s="1"/>
  <c r="D176" i="6"/>
  <c r="H176" i="6" s="1"/>
  <c r="C263" i="2"/>
  <c r="E263" i="2"/>
  <c r="G263" i="2" s="1"/>
  <c r="B263" i="2"/>
  <c r="F263" i="2" l="1"/>
  <c r="A264" i="2" s="1"/>
  <c r="L176" i="6"/>
  <c r="E177" i="6"/>
  <c r="G177" i="6" s="1"/>
  <c r="K177" i="6"/>
  <c r="C177" i="6"/>
  <c r="I177" i="6" s="1"/>
  <c r="J177" i="6" s="1"/>
  <c r="B177" i="6"/>
  <c r="C264" i="2"/>
  <c r="B264" i="2"/>
  <c r="E264" i="2"/>
  <c r="G264" i="2" s="1"/>
  <c r="D263" i="2"/>
  <c r="H263" i="2" s="1"/>
  <c r="D177" i="6" l="1"/>
  <c r="H177" i="6" s="1"/>
  <c r="F177" i="6"/>
  <c r="A178" i="6" s="1"/>
  <c r="L177" i="6"/>
  <c r="C178" i="6"/>
  <c r="I178" i="6" s="1"/>
  <c r="J178" i="6" s="1"/>
  <c r="L178" i="6" s="1"/>
  <c r="B178" i="6"/>
  <c r="K178" i="6"/>
  <c r="E178" i="6"/>
  <c r="G178" i="6" s="1"/>
  <c r="F264" i="2"/>
  <c r="A265" i="2" s="1"/>
  <c r="D264" i="2"/>
  <c r="H264" i="2" s="1"/>
  <c r="F178" i="6" l="1"/>
  <c r="A179" i="6" s="1"/>
  <c r="B179" i="6" s="1"/>
  <c r="D178" i="6"/>
  <c r="H178" i="6" s="1"/>
  <c r="B265" i="2"/>
  <c r="C265" i="2"/>
  <c r="E265" i="2"/>
  <c r="F265" i="2" s="1"/>
  <c r="A266" i="2" s="1"/>
  <c r="C179" i="6" l="1"/>
  <c r="I179" i="6" s="1"/>
  <c r="J179" i="6" s="1"/>
  <c r="K179" i="6"/>
  <c r="E179" i="6"/>
  <c r="G179" i="6" s="1"/>
  <c r="D265" i="2"/>
  <c r="H265" i="2" s="1"/>
  <c r="G265" i="2"/>
  <c r="E266" i="2"/>
  <c r="G266" i="2" s="1"/>
  <c r="C266" i="2"/>
  <c r="B266" i="2"/>
  <c r="L179" i="6" l="1"/>
  <c r="D179" i="6"/>
  <c r="H179" i="6" s="1"/>
  <c r="F179" i="6"/>
  <c r="A180" i="6" s="1"/>
  <c r="D266" i="2"/>
  <c r="F266" i="2"/>
  <c r="A267" i="2" s="1"/>
  <c r="H266" i="2"/>
  <c r="K180" i="6" l="1"/>
  <c r="B180" i="6"/>
  <c r="F180" i="6" s="1"/>
  <c r="A181" i="6" s="1"/>
  <c r="E180" i="6"/>
  <c r="G180" i="6" s="1"/>
  <c r="C180" i="6"/>
  <c r="D180" i="6" s="1"/>
  <c r="H180" i="6" s="1"/>
  <c r="E267" i="2"/>
  <c r="G267" i="2" s="1"/>
  <c r="C267" i="2"/>
  <c r="B267" i="2"/>
  <c r="E181" i="6" l="1"/>
  <c r="G181" i="6" s="1"/>
  <c r="K181" i="6"/>
  <c r="B181" i="6"/>
  <c r="C181" i="6"/>
  <c r="D181" i="6" s="1"/>
  <c r="H181" i="6" s="1"/>
  <c r="I180" i="6"/>
  <c r="J180" i="6" s="1"/>
  <c r="L180" i="6" s="1"/>
  <c r="D267" i="2"/>
  <c r="I181" i="6"/>
  <c r="F267" i="2"/>
  <c r="A268" i="2" s="1"/>
  <c r="C268" i="2" s="1"/>
  <c r="H267" i="2"/>
  <c r="J181" i="6" l="1"/>
  <c r="L181" i="6" s="1"/>
  <c r="F181" i="6"/>
  <c r="A182" i="6" s="1"/>
  <c r="E268" i="2"/>
  <c r="G268" i="2" s="1"/>
  <c r="B268" i="2"/>
  <c r="C182" i="6" l="1"/>
  <c r="I182" i="6" s="1"/>
  <c r="J182" i="6" s="1"/>
  <c r="E182" i="6"/>
  <c r="G182" i="6" s="1"/>
  <c r="K182" i="6"/>
  <c r="B182" i="6"/>
  <c r="F182" i="6" s="1"/>
  <c r="A183" i="6" s="1"/>
  <c r="F268" i="2"/>
  <c r="A269" i="2" s="1"/>
  <c r="C269" i="2"/>
  <c r="E269" i="2"/>
  <c r="G269" i="2" s="1"/>
  <c r="B269" i="2"/>
  <c r="D268" i="2"/>
  <c r="H268" i="2" s="1"/>
  <c r="L182" i="6" l="1"/>
  <c r="C183" i="6"/>
  <c r="I183" i="6" s="1"/>
  <c r="J183" i="6" s="1"/>
  <c r="B183" i="6"/>
  <c r="K183" i="6"/>
  <c r="E183" i="6"/>
  <c r="G183" i="6" s="1"/>
  <c r="D182" i="6"/>
  <c r="H182" i="6" s="1"/>
  <c r="D183" i="6"/>
  <c r="H183" i="6" s="1"/>
  <c r="F269" i="2"/>
  <c r="A270" i="2" s="1"/>
  <c r="D269" i="2"/>
  <c r="H269" i="2" s="1"/>
  <c r="B270" i="2"/>
  <c r="C270" i="2"/>
  <c r="E270" i="2"/>
  <c r="G270" i="2" s="1"/>
  <c r="L183" i="6" l="1"/>
  <c r="F183" i="6"/>
  <c r="A184" i="6" s="1"/>
  <c r="F270" i="2"/>
  <c r="A271" i="2" s="1"/>
  <c r="D270" i="2"/>
  <c r="H270" i="2" s="1"/>
  <c r="E271" i="2"/>
  <c r="G271" i="2" s="1"/>
  <c r="C271" i="2"/>
  <c r="B271" i="2"/>
  <c r="B184" i="6" l="1"/>
  <c r="F184" i="6" s="1"/>
  <c r="A185" i="6" s="1"/>
  <c r="E184" i="6"/>
  <c r="G184" i="6" s="1"/>
  <c r="K184" i="6"/>
  <c r="C184" i="6"/>
  <c r="D271" i="2"/>
  <c r="H271" i="2" s="1"/>
  <c r="F271" i="2"/>
  <c r="A272" i="2" s="1"/>
  <c r="B185" i="6" l="1"/>
  <c r="E185" i="6"/>
  <c r="G185" i="6" s="1"/>
  <c r="C185" i="6"/>
  <c r="D185" i="6" s="1"/>
  <c r="H185" i="6" s="1"/>
  <c r="K185" i="6"/>
  <c r="F185" i="6"/>
  <c r="A186" i="6" s="1"/>
  <c r="I184" i="6"/>
  <c r="J184" i="6" s="1"/>
  <c r="L184" i="6" s="1"/>
  <c r="D184" i="6"/>
  <c r="H184" i="6" s="1"/>
  <c r="B272" i="2"/>
  <c r="E272" i="2"/>
  <c r="C272" i="2"/>
  <c r="C186" i="6" l="1"/>
  <c r="D186" i="6" s="1"/>
  <c r="H186" i="6" s="1"/>
  <c r="E186" i="6"/>
  <c r="G186" i="6" s="1"/>
  <c r="K186" i="6"/>
  <c r="B186" i="6"/>
  <c r="F186" i="6" s="1"/>
  <c r="A187" i="6" s="1"/>
  <c r="I185" i="6"/>
  <c r="J185" i="6" s="1"/>
  <c r="L185" i="6" s="1"/>
  <c r="D272" i="2"/>
  <c r="F272" i="2"/>
  <c r="A273" i="2" s="1"/>
  <c r="G272" i="2"/>
  <c r="H272" i="2"/>
  <c r="B187" i="6" l="1"/>
  <c r="F187" i="6" s="1"/>
  <c r="A188" i="6" s="1"/>
  <c r="E187" i="6"/>
  <c r="G187" i="6" s="1"/>
  <c r="C187" i="6"/>
  <c r="K187" i="6" s="1"/>
  <c r="I187" i="6"/>
  <c r="J187" i="6" s="1"/>
  <c r="L187" i="6" s="1"/>
  <c r="I186" i="6"/>
  <c r="J186" i="6" s="1"/>
  <c r="L186" i="6" s="1"/>
  <c r="D187" i="6"/>
  <c r="H187" i="6" s="1"/>
  <c r="E273" i="2"/>
  <c r="G273" i="2" s="1"/>
  <c r="C273" i="2"/>
  <c r="B273" i="2"/>
  <c r="I188" i="6" l="1"/>
  <c r="J188" i="6" s="1"/>
  <c r="C188" i="6"/>
  <c r="K188" i="6" s="1"/>
  <c r="B188" i="6"/>
  <c r="E188" i="6"/>
  <c r="G188" i="6" s="1"/>
  <c r="D273" i="2"/>
  <c r="H273" i="2" s="1"/>
  <c r="F273" i="2"/>
  <c r="A274" i="2" s="1"/>
  <c r="L188" i="6" l="1"/>
  <c r="D188" i="6"/>
  <c r="H188" i="6" s="1"/>
  <c r="F188" i="6"/>
  <c r="A189" i="6" s="1"/>
  <c r="E274" i="2"/>
  <c r="G274" i="2" s="1"/>
  <c r="C274" i="2"/>
  <c r="D274" i="2" s="1"/>
  <c r="H274" i="2" s="1"/>
  <c r="B274" i="2"/>
  <c r="I189" i="6" l="1"/>
  <c r="J189" i="6" s="1"/>
  <c r="C189" i="6"/>
  <c r="E189" i="6"/>
  <c r="G189" i="6" s="1"/>
  <c r="B189" i="6"/>
  <c r="F274" i="2"/>
  <c r="A275" i="2" s="1"/>
  <c r="F189" i="6" l="1"/>
  <c r="A190" i="6" s="1"/>
  <c r="D189" i="6"/>
  <c r="H189" i="6" s="1"/>
  <c r="K189" i="6"/>
  <c r="L189" i="6" s="1"/>
  <c r="C275" i="2"/>
  <c r="E275" i="2"/>
  <c r="G275" i="2" s="1"/>
  <c r="B275" i="2"/>
  <c r="B190" i="6" l="1"/>
  <c r="E190" i="6"/>
  <c r="G190" i="6" s="1"/>
  <c r="I190" i="6"/>
  <c r="J190" i="6" s="1"/>
  <c r="C190" i="6"/>
  <c r="D190" i="6" s="1"/>
  <c r="H190" i="6" s="1"/>
  <c r="K190" i="6"/>
  <c r="D275" i="2"/>
  <c r="H275" i="2" s="1"/>
  <c r="F275" i="2"/>
  <c r="A276" i="2" s="1"/>
  <c r="L190" i="6" l="1"/>
  <c r="F190" i="6"/>
  <c r="A191" i="6" s="1"/>
  <c r="B276" i="2"/>
  <c r="C276" i="2"/>
  <c r="E276" i="2"/>
  <c r="G276" i="2" s="1"/>
  <c r="B191" i="6" l="1"/>
  <c r="E191" i="6"/>
  <c r="G191" i="6" s="1"/>
  <c r="C191" i="6"/>
  <c r="D191" i="6" s="1"/>
  <c r="H191" i="6" s="1"/>
  <c r="I191" i="6"/>
  <c r="J191" i="6" s="1"/>
  <c r="K191" i="6"/>
  <c r="D276" i="2"/>
  <c r="F276" i="2"/>
  <c r="A277" i="2" s="1"/>
  <c r="H276" i="2"/>
  <c r="L191" i="6" l="1"/>
  <c r="F191" i="6"/>
  <c r="A192" i="6" s="1"/>
  <c r="C277" i="2"/>
  <c r="B277" i="2"/>
  <c r="E277" i="2"/>
  <c r="G277" i="2" s="1"/>
  <c r="I192" i="6" l="1"/>
  <c r="J192" i="6" s="1"/>
  <c r="E192" i="6"/>
  <c r="G192" i="6" s="1"/>
  <c r="C192" i="6"/>
  <c r="B192" i="6"/>
  <c r="F192" i="6" s="1"/>
  <c r="A193" i="6" s="1"/>
  <c r="D192" i="6"/>
  <c r="H192" i="6" s="1"/>
  <c r="K192" i="6"/>
  <c r="F277" i="2"/>
  <c r="A278" i="2" s="1"/>
  <c r="D277" i="2"/>
  <c r="H277" i="2" s="1"/>
  <c r="L192" i="6" l="1"/>
  <c r="I193" i="6"/>
  <c r="J193" i="6" s="1"/>
  <c r="C193" i="6"/>
  <c r="K193" i="6" s="1"/>
  <c r="E193" i="6"/>
  <c r="G193" i="6" s="1"/>
  <c r="B193" i="6"/>
  <c r="B278" i="2"/>
  <c r="E278" i="2"/>
  <c r="G278" i="2" s="1"/>
  <c r="C278" i="2"/>
  <c r="L193" i="6" l="1"/>
  <c r="F193" i="6"/>
  <c r="A194" i="6" s="1"/>
  <c r="D193" i="6"/>
  <c r="H193" i="6" s="1"/>
  <c r="D278" i="2"/>
  <c r="H278" i="2" s="1"/>
  <c r="F278" i="2"/>
  <c r="A279" i="2" s="1"/>
  <c r="I194" i="6" l="1"/>
  <c r="J194" i="6" s="1"/>
  <c r="C194" i="6"/>
  <c r="E194" i="6"/>
  <c r="G194" i="6" s="1"/>
  <c r="B194" i="6"/>
  <c r="K194" i="6"/>
  <c r="B279" i="2"/>
  <c r="E279" i="2"/>
  <c r="G279" i="2" s="1"/>
  <c r="C279" i="2"/>
  <c r="D279" i="2" s="1"/>
  <c r="H279" i="2" s="1"/>
  <c r="L194" i="6" l="1"/>
  <c r="D194" i="6"/>
  <c r="H194" i="6" s="1"/>
  <c r="F194" i="6"/>
  <c r="A195" i="6" s="1"/>
  <c r="F279" i="2"/>
  <c r="A280" i="2" s="1"/>
  <c r="C280" i="2" s="1"/>
  <c r="E195" i="6" l="1"/>
  <c r="G195" i="6" s="1"/>
  <c r="C195" i="6"/>
  <c r="D195" i="6" s="1"/>
  <c r="H195" i="6" s="1"/>
  <c r="B195" i="6"/>
  <c r="I195" i="6"/>
  <c r="J195" i="6" s="1"/>
  <c r="F195" i="6"/>
  <c r="A196" i="6" s="1"/>
  <c r="K195" i="6"/>
  <c r="B280" i="2"/>
  <c r="E280" i="2"/>
  <c r="D280" i="2" s="1"/>
  <c r="H280" i="2" s="1"/>
  <c r="F280" i="2"/>
  <c r="A281" i="2" s="1"/>
  <c r="G280" i="2"/>
  <c r="L195" i="6" l="1"/>
  <c r="I196" i="6"/>
  <c r="J196" i="6" s="1"/>
  <c r="E196" i="6"/>
  <c r="G196" i="6" s="1"/>
  <c r="C196" i="6"/>
  <c r="D196" i="6" s="1"/>
  <c r="H196" i="6" s="1"/>
  <c r="B196" i="6"/>
  <c r="F196" i="6" s="1"/>
  <c r="A197" i="6" s="1"/>
  <c r="K196" i="6"/>
  <c r="E281" i="2"/>
  <c r="G281" i="2" s="1"/>
  <c r="B281" i="2"/>
  <c r="C281" i="2"/>
  <c r="D281" i="2" s="1"/>
  <c r="H281" i="2" s="1"/>
  <c r="F281" i="2"/>
  <c r="A282" i="2" s="1"/>
  <c r="L196" i="6" l="1"/>
  <c r="E197" i="6"/>
  <c r="G197" i="6" s="1"/>
  <c r="I197" i="6"/>
  <c r="J197" i="6" s="1"/>
  <c r="C197" i="6"/>
  <c r="D197" i="6" s="1"/>
  <c r="H197" i="6" s="1"/>
  <c r="B197" i="6"/>
  <c r="F197" i="6" s="1"/>
  <c r="A198" i="6" s="1"/>
  <c r="K197" i="6"/>
  <c r="B282" i="2"/>
  <c r="C282" i="2"/>
  <c r="E282" i="2"/>
  <c r="G282" i="2" s="1"/>
  <c r="L197" i="6" l="1"/>
  <c r="E198" i="6"/>
  <c r="G198" i="6" s="1"/>
  <c r="I198" i="6"/>
  <c r="J198" i="6" s="1"/>
  <c r="C198" i="6"/>
  <c r="D198" i="6" s="1"/>
  <c r="H198" i="6" s="1"/>
  <c r="B198" i="6"/>
  <c r="F198" i="6"/>
  <c r="A199" i="6" s="1"/>
  <c r="D282" i="2"/>
  <c r="H282" i="2" s="1"/>
  <c r="F282" i="2"/>
  <c r="A283" i="2" s="1"/>
  <c r="K198" i="6" l="1"/>
  <c r="L198" i="6" s="1"/>
  <c r="B199" i="6"/>
  <c r="C199" i="6"/>
  <c r="E199" i="6"/>
  <c r="G199" i="6" s="1"/>
  <c r="I199" i="6"/>
  <c r="J199" i="6" s="1"/>
  <c r="K199" i="6"/>
  <c r="C283" i="2"/>
  <c r="E283" i="2"/>
  <c r="G283" i="2" s="1"/>
  <c r="B283" i="2"/>
  <c r="L199" i="6" l="1"/>
  <c r="D199" i="6"/>
  <c r="H199" i="6" s="1"/>
  <c r="F199" i="6"/>
  <c r="A200" i="6" s="1"/>
  <c r="F283" i="2"/>
  <c r="A284" i="2" s="1"/>
  <c r="E284" i="2"/>
  <c r="G284" i="2" s="1"/>
  <c r="C284" i="2"/>
  <c r="B284" i="2"/>
  <c r="D283" i="2"/>
  <c r="H283" i="2" s="1"/>
  <c r="C200" i="6" l="1"/>
  <c r="K200" i="6"/>
  <c r="E200" i="6"/>
  <c r="G200" i="6" s="1"/>
  <c r="I200" i="6"/>
  <c r="J200" i="6" s="1"/>
  <c r="L200" i="6" s="1"/>
  <c r="B200" i="6"/>
  <c r="F200" i="6" s="1"/>
  <c r="A201" i="6" s="1"/>
  <c r="D200" i="6"/>
  <c r="H200" i="6" s="1"/>
  <c r="D284" i="2"/>
  <c r="F284" i="2"/>
  <c r="A285" i="2" s="1"/>
  <c r="H284" i="2"/>
  <c r="C285" i="2"/>
  <c r="B285" i="2"/>
  <c r="E285" i="2"/>
  <c r="G285" i="2" s="1"/>
  <c r="E201" i="6" l="1"/>
  <c r="G201" i="6" s="1"/>
  <c r="I201" i="6"/>
  <c r="J201" i="6" s="1"/>
  <c r="B201" i="6"/>
  <c r="C201" i="6"/>
  <c r="K201" i="6" s="1"/>
  <c r="F201" i="6"/>
  <c r="A202" i="6" s="1"/>
  <c r="F285" i="2"/>
  <c r="A286" i="2" s="1"/>
  <c r="D285" i="2"/>
  <c r="H285" i="2" s="1"/>
  <c r="D201" i="6" l="1"/>
  <c r="H201" i="6" s="1"/>
  <c r="B202" i="6"/>
  <c r="I202" i="6"/>
  <c r="J202" i="6" s="1"/>
  <c r="E202" i="6"/>
  <c r="G202" i="6" s="1"/>
  <c r="C202" i="6"/>
  <c r="K202" i="6" s="1"/>
  <c r="L201" i="6"/>
  <c r="B286" i="2"/>
  <c r="C286" i="2"/>
  <c r="E286" i="2"/>
  <c r="G286" i="2" s="1"/>
  <c r="L202" i="6" l="1"/>
  <c r="F202" i="6"/>
  <c r="A203" i="6" s="1"/>
  <c r="D202" i="6"/>
  <c r="H202" i="6" s="1"/>
  <c r="D286" i="2"/>
  <c r="H286" i="2" s="1"/>
  <c r="F286" i="2"/>
  <c r="A287" i="2" s="1"/>
  <c r="E203" i="6" l="1"/>
  <c r="G203" i="6" s="1"/>
  <c r="B203" i="6"/>
  <c r="F203" i="6" s="1"/>
  <c r="A204" i="6" s="1"/>
  <c r="C203" i="6"/>
  <c r="D203" i="6" s="1"/>
  <c r="H203" i="6" s="1"/>
  <c r="I203" i="6"/>
  <c r="J203" i="6" s="1"/>
  <c r="E287" i="2"/>
  <c r="G287" i="2" s="1"/>
  <c r="C287" i="2"/>
  <c r="B287" i="2"/>
  <c r="C204" i="6" l="1"/>
  <c r="B204" i="6"/>
  <c r="I204" i="6"/>
  <c r="J204" i="6" s="1"/>
  <c r="E204" i="6"/>
  <c r="G204" i="6" s="1"/>
  <c r="K203" i="6"/>
  <c r="L203" i="6" s="1"/>
  <c r="F287" i="2"/>
  <c r="A288" i="2" s="1"/>
  <c r="D287" i="2"/>
  <c r="H287" i="2" s="1"/>
  <c r="K204" i="6" l="1"/>
  <c r="L204" i="6" s="1"/>
  <c r="D204" i="6"/>
  <c r="H204" i="6" s="1"/>
  <c r="F204" i="6"/>
  <c r="A205" i="6" s="1"/>
  <c r="E288" i="2"/>
  <c r="G288" i="2" s="1"/>
  <c r="B288" i="2"/>
  <c r="C288" i="2"/>
  <c r="E205" i="6" l="1"/>
  <c r="G205" i="6" s="1"/>
  <c r="B205" i="6"/>
  <c r="F205" i="6" s="1"/>
  <c r="A206" i="6" s="1"/>
  <c r="C205" i="6"/>
  <c r="K205" i="6" s="1"/>
  <c r="I205" i="6"/>
  <c r="J205" i="6" s="1"/>
  <c r="L205" i="6" s="1"/>
  <c r="D205" i="6"/>
  <c r="H205" i="6" s="1"/>
  <c r="D288" i="2"/>
  <c r="H288" i="2" s="1"/>
  <c r="F288" i="2"/>
  <c r="A289" i="2" s="1"/>
  <c r="E206" i="6" l="1"/>
  <c r="G206" i="6" s="1"/>
  <c r="C206" i="6"/>
  <c r="I206" i="6"/>
  <c r="J206" i="6" s="1"/>
  <c r="B206" i="6"/>
  <c r="D206" i="6"/>
  <c r="H206" i="6" s="1"/>
  <c r="K206" i="6"/>
  <c r="F206" i="6"/>
  <c r="A207" i="6" s="1"/>
  <c r="C289" i="2"/>
  <c r="B289" i="2"/>
  <c r="E289" i="2"/>
  <c r="G289" i="2" s="1"/>
  <c r="L206" i="6" l="1"/>
  <c r="E207" i="6"/>
  <c r="G207" i="6" s="1"/>
  <c r="B207" i="6"/>
  <c r="I207" i="6"/>
  <c r="J207" i="6" s="1"/>
  <c r="C207" i="6"/>
  <c r="K207" i="6" s="1"/>
  <c r="F207" i="6"/>
  <c r="A208" i="6" s="1"/>
  <c r="D207" i="6"/>
  <c r="H207" i="6" s="1"/>
  <c r="F289" i="2"/>
  <c r="A290" i="2" s="1"/>
  <c r="D289" i="2"/>
  <c r="H289" i="2" s="1"/>
  <c r="L207" i="6" l="1"/>
  <c r="B208" i="6"/>
  <c r="I208" i="6"/>
  <c r="J208" i="6" s="1"/>
  <c r="E208" i="6"/>
  <c r="G208" i="6" s="1"/>
  <c r="C208" i="6"/>
  <c r="D208" i="6" s="1"/>
  <c r="H208" i="6" s="1"/>
  <c r="K208" i="6"/>
  <c r="E290" i="2"/>
  <c r="G290" i="2" s="1"/>
  <c r="B290" i="2"/>
  <c r="C290" i="2"/>
  <c r="D290" i="2" s="1"/>
  <c r="H290" i="2" s="1"/>
  <c r="L208" i="6" l="1"/>
  <c r="F208" i="6"/>
  <c r="A209" i="6" s="1"/>
  <c r="F290" i="2"/>
  <c r="A291" i="2" s="1"/>
  <c r="I209" i="6" l="1"/>
  <c r="J209" i="6" s="1"/>
  <c r="B209" i="6"/>
  <c r="C209" i="6"/>
  <c r="E209" i="6"/>
  <c r="G209" i="6" s="1"/>
  <c r="K209" i="6"/>
  <c r="L209" i="6" s="1"/>
  <c r="F209" i="6"/>
  <c r="A210" i="6" s="1"/>
  <c r="E291" i="2"/>
  <c r="G291" i="2" s="1"/>
  <c r="C291" i="2"/>
  <c r="B291" i="2"/>
  <c r="F291" i="2" s="1"/>
  <c r="A292" i="2" s="1"/>
  <c r="C210" i="6" l="1"/>
  <c r="E210" i="6"/>
  <c r="G210" i="6" s="1"/>
  <c r="I210" i="6"/>
  <c r="J210" i="6" s="1"/>
  <c r="B210" i="6"/>
  <c r="F210" i="6" s="1"/>
  <c r="A211" i="6" s="1"/>
  <c r="D210" i="6"/>
  <c r="H210" i="6" s="1"/>
  <c r="K210" i="6"/>
  <c r="D209" i="6"/>
  <c r="H209" i="6" s="1"/>
  <c r="D291" i="2"/>
  <c r="H291" i="2" s="1"/>
  <c r="E292" i="2"/>
  <c r="G292" i="2" s="1"/>
  <c r="C292" i="2"/>
  <c r="B292" i="2"/>
  <c r="L210" i="6" l="1"/>
  <c r="I211" i="6"/>
  <c r="J211" i="6" s="1"/>
  <c r="E211" i="6"/>
  <c r="G211" i="6" s="1"/>
  <c r="C211" i="6"/>
  <c r="B211" i="6"/>
  <c r="K211" i="6"/>
  <c r="D211" i="6"/>
  <c r="H211" i="6" s="1"/>
  <c r="F211" i="6"/>
  <c r="A212" i="6" s="1"/>
  <c r="D292" i="2"/>
  <c r="H292" i="2" s="1"/>
  <c r="F292" i="2"/>
  <c r="A293" i="2" s="1"/>
  <c r="L211" i="6" l="1"/>
  <c r="B212" i="6"/>
  <c r="C212" i="6"/>
  <c r="K212" i="6" s="1"/>
  <c r="I212" i="6"/>
  <c r="J212" i="6" s="1"/>
  <c r="L212" i="6" s="1"/>
  <c r="E212" i="6"/>
  <c r="G212" i="6" s="1"/>
  <c r="B293" i="2"/>
  <c r="C293" i="2"/>
  <c r="E293" i="2"/>
  <c r="G293" i="2" s="1"/>
  <c r="F212" i="6" l="1"/>
  <c r="A213" i="6" s="1"/>
  <c r="D212" i="6"/>
  <c r="H212" i="6" s="1"/>
  <c r="D293" i="2"/>
  <c r="F293" i="2"/>
  <c r="A294" i="2" s="1"/>
  <c r="H293" i="2"/>
  <c r="E213" i="6" l="1"/>
  <c r="G213" i="6" s="1"/>
  <c r="C213" i="6"/>
  <c r="K213" i="6" s="1"/>
  <c r="B213" i="6"/>
  <c r="I213" i="6"/>
  <c r="J213" i="6" s="1"/>
  <c r="L213" i="6" s="1"/>
  <c r="D213" i="6"/>
  <c r="H213" i="6" s="1"/>
  <c r="F213" i="6"/>
  <c r="A214" i="6" s="1"/>
  <c r="B294" i="2"/>
  <c r="E294" i="2"/>
  <c r="G294" i="2" s="1"/>
  <c r="C294" i="2"/>
  <c r="B214" i="6" l="1"/>
  <c r="F214" i="6" s="1"/>
  <c r="A215" i="6" s="1"/>
  <c r="C214" i="6"/>
  <c r="K214" i="6" s="1"/>
  <c r="I214" i="6"/>
  <c r="J214" i="6" s="1"/>
  <c r="L214" i="6" s="1"/>
  <c r="E214" i="6"/>
  <c r="G214" i="6" s="1"/>
  <c r="D294" i="2"/>
  <c r="F294" i="2"/>
  <c r="A295" i="2" s="1"/>
  <c r="H294" i="2"/>
  <c r="I215" i="6" l="1"/>
  <c r="J215" i="6" s="1"/>
  <c r="E215" i="6"/>
  <c r="G215" i="6" s="1"/>
  <c r="B215" i="6"/>
  <c r="C215" i="6"/>
  <c r="K215" i="6" s="1"/>
  <c r="D214" i="6"/>
  <c r="H214" i="6" s="1"/>
  <c r="F215" i="6"/>
  <c r="A216" i="6" s="1"/>
  <c r="E295" i="2"/>
  <c r="G295" i="2" s="1"/>
  <c r="C295" i="2"/>
  <c r="B295" i="2"/>
  <c r="L215" i="6" l="1"/>
  <c r="D215" i="6"/>
  <c r="H215" i="6" s="1"/>
  <c r="I216" i="6"/>
  <c r="J216" i="6" s="1"/>
  <c r="C216" i="6"/>
  <c r="B216" i="6"/>
  <c r="E216" i="6"/>
  <c r="G216" i="6" s="1"/>
  <c r="F295" i="2"/>
  <c r="A296" i="2" s="1"/>
  <c r="D295" i="2"/>
  <c r="H295" i="2" s="1"/>
  <c r="D216" i="6" l="1"/>
  <c r="H216" i="6" s="1"/>
  <c r="F216" i="6"/>
  <c r="A217" i="6" s="1"/>
  <c r="K216" i="6"/>
  <c r="L216" i="6" s="1"/>
  <c r="E296" i="2"/>
  <c r="G296" i="2" s="1"/>
  <c r="C296" i="2"/>
  <c r="B296" i="2"/>
  <c r="F296" i="2" l="1"/>
  <c r="A297" i="2" s="1"/>
  <c r="D296" i="2"/>
  <c r="B217" i="6"/>
  <c r="I217" i="6"/>
  <c r="J217" i="6" s="1"/>
  <c r="E217" i="6"/>
  <c r="G217" i="6" s="1"/>
  <c r="C217" i="6"/>
  <c r="K217" i="6" s="1"/>
  <c r="B297" i="2"/>
  <c r="E297" i="2"/>
  <c r="G297" i="2" s="1"/>
  <c r="C297" i="2"/>
  <c r="H296" i="2"/>
  <c r="D297" i="2" l="1"/>
  <c r="L217" i="6"/>
  <c r="F217" i="6"/>
  <c r="A218" i="6" s="1"/>
  <c r="D217" i="6"/>
  <c r="H217" i="6" s="1"/>
  <c r="F297" i="2"/>
  <c r="A298" i="2" s="1"/>
  <c r="H297" i="2"/>
  <c r="E218" i="6" l="1"/>
  <c r="G218" i="6" s="1"/>
  <c r="B218" i="6"/>
  <c r="C218" i="6"/>
  <c r="D218" i="6" s="1"/>
  <c r="H218" i="6" s="1"/>
  <c r="I218" i="6"/>
  <c r="J218" i="6" s="1"/>
  <c r="F218" i="6"/>
  <c r="A219" i="6" s="1"/>
  <c r="C298" i="2"/>
  <c r="E298" i="2"/>
  <c r="G298" i="2" s="1"/>
  <c r="B298" i="2"/>
  <c r="E219" i="6" l="1"/>
  <c r="G219" i="6" s="1"/>
  <c r="C219" i="6"/>
  <c r="I219" i="6"/>
  <c r="J219" i="6" s="1"/>
  <c r="B219" i="6"/>
  <c r="F219" i="6"/>
  <c r="A220" i="6" s="1"/>
  <c r="D219" i="6"/>
  <c r="H219" i="6" s="1"/>
  <c r="K218" i="6"/>
  <c r="L218" i="6" s="1"/>
  <c r="F298" i="2"/>
  <c r="A299" i="2" s="1"/>
  <c r="E299" i="2" s="1"/>
  <c r="G299" i="2" s="1"/>
  <c r="D298" i="2"/>
  <c r="H298" i="2" s="1"/>
  <c r="B299" i="2" l="1"/>
  <c r="C299" i="2"/>
  <c r="E220" i="6"/>
  <c r="G220" i="6" s="1"/>
  <c r="I220" i="6"/>
  <c r="J220" i="6" s="1"/>
  <c r="B220" i="6"/>
  <c r="C220" i="6"/>
  <c r="D220" i="6" s="1"/>
  <c r="H220" i="6" s="1"/>
  <c r="F220" i="6"/>
  <c r="A221" i="6" s="1"/>
  <c r="K219" i="6"/>
  <c r="L219" i="6" s="1"/>
  <c r="F299" i="2"/>
  <c r="A300" i="2" s="1"/>
  <c r="C300" i="2" s="1"/>
  <c r="D299" i="2"/>
  <c r="H299" i="2" s="1"/>
  <c r="B300" i="2" l="1"/>
  <c r="E300" i="2"/>
  <c r="G300" i="2" s="1"/>
  <c r="I221" i="6"/>
  <c r="J221" i="6" s="1"/>
  <c r="B221" i="6"/>
  <c r="C221" i="6"/>
  <c r="E221" i="6"/>
  <c r="G221" i="6" s="1"/>
  <c r="K220" i="6"/>
  <c r="L220" i="6" s="1"/>
  <c r="F300" i="2"/>
  <c r="A301" i="2" s="1"/>
  <c r="B301" i="2" s="1"/>
  <c r="D300" i="2"/>
  <c r="H300" i="2" s="1"/>
  <c r="D221" i="6" l="1"/>
  <c r="H221" i="6" s="1"/>
  <c r="F221" i="6"/>
  <c r="A222" i="6" s="1"/>
  <c r="C301" i="2"/>
  <c r="E301" i="2"/>
  <c r="G301" i="2" s="1"/>
  <c r="I222" i="6"/>
  <c r="J222" i="6" s="1"/>
  <c r="E222" i="6"/>
  <c r="G222" i="6" s="1"/>
  <c r="C222" i="6"/>
  <c r="B222" i="6"/>
  <c r="F222" i="6" s="1"/>
  <c r="A223" i="6" s="1"/>
  <c r="D222" i="6"/>
  <c r="H222" i="6" s="1"/>
  <c r="K221" i="6"/>
  <c r="K222" i="6" s="1"/>
  <c r="D301" i="2"/>
  <c r="H301" i="2" s="1"/>
  <c r="F301" i="2" l="1"/>
  <c r="A302" i="2" s="1"/>
  <c r="C302" i="2" s="1"/>
  <c r="E302" i="2"/>
  <c r="G302" i="2" s="1"/>
  <c r="B302" i="2"/>
  <c r="E223" i="6"/>
  <c r="G223" i="6" s="1"/>
  <c r="B223" i="6"/>
  <c r="I223" i="6"/>
  <c r="J223" i="6" s="1"/>
  <c r="C223" i="6"/>
  <c r="K223" i="6" s="1"/>
  <c r="L222" i="6"/>
  <c r="L221" i="6"/>
  <c r="D302" i="2"/>
  <c r="F302" i="2"/>
  <c r="A303" i="2" s="1"/>
  <c r="H302" i="2"/>
  <c r="L223" i="6" l="1"/>
  <c r="F223" i="6"/>
  <c r="A224" i="6" s="1"/>
  <c r="D223" i="6"/>
  <c r="H223" i="6" s="1"/>
  <c r="B303" i="2"/>
  <c r="E303" i="2"/>
  <c r="G303" i="2" s="1"/>
  <c r="C303" i="2"/>
  <c r="E224" i="6" l="1"/>
  <c r="G224" i="6" s="1"/>
  <c r="I224" i="6"/>
  <c r="J224" i="6" s="1"/>
  <c r="C224" i="6"/>
  <c r="K224" i="6" s="1"/>
  <c r="B224" i="6"/>
  <c r="F224" i="6" s="1"/>
  <c r="A225" i="6" s="1"/>
  <c r="D303" i="2"/>
  <c r="H303" i="2" s="1"/>
  <c r="F303" i="2"/>
  <c r="A304" i="2" s="1"/>
  <c r="D224" i="6" l="1"/>
  <c r="H224" i="6" s="1"/>
  <c r="L224" i="6"/>
  <c r="E225" i="6"/>
  <c r="G225" i="6" s="1"/>
  <c r="C225" i="6"/>
  <c r="K225" i="6" s="1"/>
  <c r="I225" i="6"/>
  <c r="J225" i="6" s="1"/>
  <c r="B225" i="6"/>
  <c r="F225" i="6" s="1"/>
  <c r="A226" i="6" s="1"/>
  <c r="B304" i="2"/>
  <c r="E304" i="2"/>
  <c r="G304" i="2" s="1"/>
  <c r="C304" i="2"/>
  <c r="D304" i="2" l="1"/>
  <c r="L225" i="6"/>
  <c r="D225" i="6"/>
  <c r="H225" i="6" s="1"/>
  <c r="I226" i="6"/>
  <c r="J226" i="6" s="1"/>
  <c r="C226" i="6"/>
  <c r="K226" i="6" s="1"/>
  <c r="B226" i="6"/>
  <c r="E226" i="6"/>
  <c r="G226" i="6" s="1"/>
  <c r="F304" i="2"/>
  <c r="A305" i="2" s="1"/>
  <c r="H304" i="2"/>
  <c r="L226" i="6" l="1"/>
  <c r="D226" i="6"/>
  <c r="H226" i="6" s="1"/>
  <c r="F226" i="6"/>
  <c r="A227" i="6" s="1"/>
  <c r="C305" i="2"/>
  <c r="E305" i="2"/>
  <c r="G305" i="2" s="1"/>
  <c r="B305" i="2"/>
  <c r="I227" i="6" l="1"/>
  <c r="J227" i="6" s="1"/>
  <c r="B227" i="6"/>
  <c r="E227" i="6"/>
  <c r="G227" i="6" s="1"/>
  <c r="C227" i="6"/>
  <c r="K227" i="6" s="1"/>
  <c r="F305" i="2"/>
  <c r="A306" i="2" s="1"/>
  <c r="D305" i="2"/>
  <c r="H305" i="2" s="1"/>
  <c r="L227" i="6" l="1"/>
  <c r="D227" i="6"/>
  <c r="H227" i="6" s="1"/>
  <c r="F227" i="6"/>
  <c r="A228" i="6" s="1"/>
  <c r="E306" i="2"/>
  <c r="G306" i="2" s="1"/>
  <c r="C306" i="2"/>
  <c r="B306" i="2"/>
  <c r="F306" i="2" s="1"/>
  <c r="A307" i="2" s="1"/>
  <c r="B228" i="6" l="1"/>
  <c r="I228" i="6"/>
  <c r="J228" i="6" s="1"/>
  <c r="E228" i="6"/>
  <c r="G228" i="6" s="1"/>
  <c r="C228" i="6"/>
  <c r="D228" i="6" s="1"/>
  <c r="H228" i="6" s="1"/>
  <c r="B307" i="2"/>
  <c r="E307" i="2"/>
  <c r="G307" i="2" s="1"/>
  <c r="C307" i="2"/>
  <c r="D306" i="2"/>
  <c r="H306" i="2" s="1"/>
  <c r="D307" i="2" l="1"/>
  <c r="K228" i="6"/>
  <c r="L228" i="6" s="1"/>
  <c r="F228" i="6"/>
  <c r="A229" i="6" s="1"/>
  <c r="H307" i="2"/>
  <c r="F307" i="2"/>
  <c r="A308" i="2" s="1"/>
  <c r="B229" i="6" l="1"/>
  <c r="E229" i="6"/>
  <c r="G229" i="6" s="1"/>
  <c r="C229" i="6"/>
  <c r="K229" i="6" s="1"/>
  <c r="I229" i="6"/>
  <c r="J229" i="6" s="1"/>
  <c r="L229" i="6" s="1"/>
  <c r="B308" i="2"/>
  <c r="E308" i="2"/>
  <c r="F308" i="2" s="1"/>
  <c r="A309" i="2" s="1"/>
  <c r="C308" i="2"/>
  <c r="F229" i="6" l="1"/>
  <c r="A230" i="6" s="1"/>
  <c r="D229" i="6"/>
  <c r="H229" i="6" s="1"/>
  <c r="G308" i="2"/>
  <c r="D308" i="2"/>
  <c r="C309" i="2"/>
  <c r="B309" i="2"/>
  <c r="E309" i="2"/>
  <c r="G309" i="2" s="1"/>
  <c r="H308" i="2"/>
  <c r="E230" i="6" l="1"/>
  <c r="G230" i="6" s="1"/>
  <c r="C230" i="6"/>
  <c r="K230" i="6" s="1"/>
  <c r="B230" i="6"/>
  <c r="I230" i="6"/>
  <c r="J230" i="6" s="1"/>
  <c r="L230" i="6" s="1"/>
  <c r="F230" i="6"/>
  <c r="A231" i="6" s="1"/>
  <c r="D309" i="2"/>
  <c r="H309" i="2"/>
  <c r="F309" i="2"/>
  <c r="A310" i="2" s="1"/>
  <c r="B231" i="6" l="1"/>
  <c r="I231" i="6"/>
  <c r="J231" i="6" s="1"/>
  <c r="C231" i="6"/>
  <c r="K231" i="6" s="1"/>
  <c r="E231" i="6"/>
  <c r="G231" i="6" s="1"/>
  <c r="D230" i="6"/>
  <c r="H230" i="6" s="1"/>
  <c r="B310" i="2"/>
  <c r="E310" i="2"/>
  <c r="C310" i="2"/>
  <c r="L231" i="6" l="1"/>
  <c r="F231" i="6"/>
  <c r="A232" i="6" s="1"/>
  <c r="D231" i="6"/>
  <c r="H231" i="6" s="1"/>
  <c r="D310" i="2"/>
  <c r="G310" i="2"/>
  <c r="F310" i="2"/>
  <c r="A311" i="2" s="1"/>
  <c r="H310" i="2"/>
  <c r="E232" i="6" l="1"/>
  <c r="G232" i="6" s="1"/>
  <c r="C232" i="6"/>
  <c r="K232" i="6"/>
  <c r="I232" i="6"/>
  <c r="J232" i="6" s="1"/>
  <c r="L232" i="6" s="1"/>
  <c r="B232" i="6"/>
  <c r="F232" i="6" s="1"/>
  <c r="A233" i="6" s="1"/>
  <c r="D232" i="6"/>
  <c r="H232" i="6" s="1"/>
  <c r="C311" i="2"/>
  <c r="E311" i="2"/>
  <c r="D311" i="2" s="1"/>
  <c r="B311" i="2"/>
  <c r="B233" i="6" l="1"/>
  <c r="C233" i="6"/>
  <c r="K233" i="6" s="1"/>
  <c r="I233" i="6"/>
  <c r="J233" i="6" s="1"/>
  <c r="E233" i="6"/>
  <c r="G233" i="6" s="1"/>
  <c r="H311" i="2"/>
  <c r="G311" i="2"/>
  <c r="F311" i="2"/>
  <c r="A312" i="2" s="1"/>
  <c r="L233" i="6" l="1"/>
  <c r="D233" i="6"/>
  <c r="H233" i="6" s="1"/>
  <c r="F233" i="6"/>
  <c r="A234" i="6" s="1"/>
  <c r="C312" i="2"/>
  <c r="B312" i="2"/>
  <c r="E312" i="2"/>
  <c r="G312" i="2" s="1"/>
  <c r="I234" i="6" l="1"/>
  <c r="J234" i="6" s="1"/>
  <c r="C234" i="6"/>
  <c r="K234" i="6" s="1"/>
  <c r="B234" i="6"/>
  <c r="E234" i="6"/>
  <c r="G234" i="6" s="1"/>
  <c r="D312" i="2"/>
  <c r="F312" i="2"/>
  <c r="A313" i="2" s="1"/>
  <c r="H312" i="2"/>
  <c r="L234" i="6" l="1"/>
  <c r="D234" i="6"/>
  <c r="H234" i="6" s="1"/>
  <c r="F234" i="6"/>
  <c r="A235" i="6" s="1"/>
  <c r="B313" i="2"/>
  <c r="C313" i="2"/>
  <c r="E313" i="2"/>
  <c r="G313" i="2" s="1"/>
  <c r="E235" i="6" l="1"/>
  <c r="G235" i="6" s="1"/>
  <c r="B235" i="6"/>
  <c r="F235" i="6"/>
  <c r="A236" i="6" s="1"/>
  <c r="I235" i="6"/>
  <c r="J235" i="6" s="1"/>
  <c r="C235" i="6"/>
  <c r="D235" i="6" s="1"/>
  <c r="H235" i="6" s="1"/>
  <c r="F313" i="2"/>
  <c r="A314" i="2" s="1"/>
  <c r="B314" i="2" s="1"/>
  <c r="D313" i="2"/>
  <c r="H313" i="2" s="1"/>
  <c r="C314" i="2" l="1"/>
  <c r="E314" i="2"/>
  <c r="G314" i="2" s="1"/>
  <c r="I236" i="6"/>
  <c r="J236" i="6" s="1"/>
  <c r="E236" i="6"/>
  <c r="G236" i="6" s="1"/>
  <c r="B236" i="6"/>
  <c r="C236" i="6"/>
  <c r="D236" i="6" s="1"/>
  <c r="H236" i="6" s="1"/>
  <c r="F236" i="6"/>
  <c r="A237" i="6" s="1"/>
  <c r="K235" i="6"/>
  <c r="L235" i="6" s="1"/>
  <c r="F314" i="2"/>
  <c r="A315" i="2" s="1"/>
  <c r="D314" i="2" l="1"/>
  <c r="H314" i="2" s="1"/>
  <c r="B237" i="6"/>
  <c r="E237" i="6"/>
  <c r="G237" i="6" s="1"/>
  <c r="I237" i="6"/>
  <c r="J237" i="6" s="1"/>
  <c r="C237" i="6"/>
  <c r="D237" i="6" s="1"/>
  <c r="H237" i="6" s="1"/>
  <c r="K236" i="6"/>
  <c r="L236" i="6" s="1"/>
  <c r="B315" i="2"/>
  <c r="E315" i="2"/>
  <c r="G315" i="2" s="1"/>
  <c r="C315" i="2"/>
  <c r="F315" i="2" l="1"/>
  <c r="A316" i="2" s="1"/>
  <c r="D315" i="2"/>
  <c r="H315" i="2" s="1"/>
  <c r="F237" i="6"/>
  <c r="A238" i="6" s="1"/>
  <c r="K237" i="6"/>
  <c r="L237" i="6" s="1"/>
  <c r="B316" i="2"/>
  <c r="C316" i="2"/>
  <c r="E316" i="2"/>
  <c r="G316" i="2" s="1"/>
  <c r="I238" i="6" l="1"/>
  <c r="J238" i="6" s="1"/>
  <c r="B238" i="6"/>
  <c r="E238" i="6"/>
  <c r="G238" i="6" s="1"/>
  <c r="C238" i="6"/>
  <c r="K238" i="6" s="1"/>
  <c r="F316" i="2"/>
  <c r="A317" i="2" s="1"/>
  <c r="D316" i="2"/>
  <c r="H316" i="2" s="1"/>
  <c r="F238" i="6" l="1"/>
  <c r="A239" i="6" s="1"/>
  <c r="B239" i="6"/>
  <c r="E239" i="6"/>
  <c r="G239" i="6" s="1"/>
  <c r="I239" i="6"/>
  <c r="J239" i="6" s="1"/>
  <c r="C239" i="6"/>
  <c r="D239" i="6" s="1"/>
  <c r="H239" i="6" s="1"/>
  <c r="L238" i="6"/>
  <c r="D238" i="6"/>
  <c r="H238" i="6" s="1"/>
  <c r="C317" i="2"/>
  <c r="B317" i="2"/>
  <c r="E317" i="2"/>
  <c r="G317" i="2" s="1"/>
  <c r="K239" i="6" l="1"/>
  <c r="L239" i="6" s="1"/>
  <c r="F239" i="6"/>
  <c r="A240" i="6" s="1"/>
  <c r="F317" i="2"/>
  <c r="A318" i="2" s="1"/>
  <c r="D317" i="2"/>
  <c r="H317" i="2" s="1"/>
  <c r="I240" i="6" l="1"/>
  <c r="J240" i="6" s="1"/>
  <c r="E240" i="6"/>
  <c r="G240" i="6" s="1"/>
  <c r="B240" i="6"/>
  <c r="C240" i="6"/>
  <c r="D240" i="6" s="1"/>
  <c r="H240" i="6" s="1"/>
  <c r="F240" i="6"/>
  <c r="A241" i="6" s="1"/>
  <c r="B318" i="2"/>
  <c r="E318" i="2"/>
  <c r="G318" i="2" s="1"/>
  <c r="C318" i="2"/>
  <c r="D318" i="2" s="1"/>
  <c r="C241" i="6" l="1"/>
  <c r="B241" i="6"/>
  <c r="I241" i="6"/>
  <c r="J241" i="6" s="1"/>
  <c r="E241" i="6"/>
  <c r="G241" i="6" s="1"/>
  <c r="K240" i="6"/>
  <c r="L240" i="6" s="1"/>
  <c r="F318" i="2"/>
  <c r="A319" i="2" s="1"/>
  <c r="H318" i="2"/>
  <c r="F241" i="6" l="1"/>
  <c r="A242" i="6" s="1"/>
  <c r="I242" i="6" s="1"/>
  <c r="J242" i="6" s="1"/>
  <c r="B242" i="6"/>
  <c r="E242" i="6"/>
  <c r="G242" i="6" s="1"/>
  <c r="C242" i="6"/>
  <c r="D242" i="6" s="1"/>
  <c r="H242" i="6" s="1"/>
  <c r="D241" i="6"/>
  <c r="H241" i="6" s="1"/>
  <c r="K241" i="6"/>
  <c r="L241" i="6" s="1"/>
  <c r="C319" i="2"/>
  <c r="E319" i="2"/>
  <c r="G319" i="2" s="1"/>
  <c r="B319" i="2"/>
  <c r="K242" i="6" l="1"/>
  <c r="L242" i="6" s="1"/>
  <c r="F242" i="6"/>
  <c r="A243" i="6" s="1"/>
  <c r="D319" i="2"/>
  <c r="F319" i="2"/>
  <c r="A320" i="2" s="1"/>
  <c r="H319" i="2"/>
  <c r="I243" i="6" l="1"/>
  <c r="J243" i="6" s="1"/>
  <c r="C243" i="6"/>
  <c r="K243" i="6" s="1"/>
  <c r="E243" i="6"/>
  <c r="G243" i="6" s="1"/>
  <c r="B243" i="6"/>
  <c r="E320" i="2"/>
  <c r="G320" i="2" s="1"/>
  <c r="B320" i="2"/>
  <c r="C320" i="2"/>
  <c r="D320" i="2" s="1"/>
  <c r="F243" i="6" l="1"/>
  <c r="A244" i="6" s="1"/>
  <c r="E244" i="6"/>
  <c r="G244" i="6" s="1"/>
  <c r="B244" i="6"/>
  <c r="I244" i="6"/>
  <c r="J244" i="6" s="1"/>
  <c r="C244" i="6"/>
  <c r="K244" i="6" s="1"/>
  <c r="F244" i="6"/>
  <c r="A245" i="6" s="1"/>
  <c r="L243" i="6"/>
  <c r="D243" i="6"/>
  <c r="H243" i="6" s="1"/>
  <c r="F320" i="2"/>
  <c r="A321" i="2" s="1"/>
  <c r="H320" i="2"/>
  <c r="L244" i="6" l="1"/>
  <c r="C245" i="6"/>
  <c r="I245" i="6"/>
  <c r="J245" i="6" s="1"/>
  <c r="B245" i="6"/>
  <c r="K245" i="6"/>
  <c r="E245" i="6"/>
  <c r="G245" i="6" s="1"/>
  <c r="D244" i="6"/>
  <c r="H244" i="6" s="1"/>
  <c r="E321" i="2"/>
  <c r="G321" i="2" s="1"/>
  <c r="B321" i="2"/>
  <c r="C321" i="2"/>
  <c r="L245" i="6" l="1"/>
  <c r="D245" i="6"/>
  <c r="H245" i="6" s="1"/>
  <c r="F245" i="6"/>
  <c r="A246" i="6" s="1"/>
  <c r="D321" i="2"/>
  <c r="F321" i="2"/>
  <c r="A322" i="2" s="1"/>
  <c r="H321" i="2"/>
  <c r="C246" i="6" l="1"/>
  <c r="K246" i="6" s="1"/>
  <c r="E246" i="6"/>
  <c r="G246" i="6" s="1"/>
  <c r="B246" i="6"/>
  <c r="I246" i="6"/>
  <c r="J246" i="6" s="1"/>
  <c r="E322" i="2"/>
  <c r="G322" i="2" s="1"/>
  <c r="B322" i="2"/>
  <c r="C322" i="2"/>
  <c r="D322" i="2" s="1"/>
  <c r="L246" i="6" l="1"/>
  <c r="D246" i="6"/>
  <c r="H246" i="6" s="1"/>
  <c r="F246" i="6"/>
  <c r="A247" i="6" s="1"/>
  <c r="I247" i="6" s="1"/>
  <c r="J247" i="6" s="1"/>
  <c r="B247" i="6"/>
  <c r="F322" i="2"/>
  <c r="A323" i="2" s="1"/>
  <c r="H322" i="2"/>
  <c r="E247" i="6" l="1"/>
  <c r="G247" i="6" s="1"/>
  <c r="C247" i="6"/>
  <c r="K247" i="6" s="1"/>
  <c r="L247" i="6" s="1"/>
  <c r="D247" i="6"/>
  <c r="H247" i="6" s="1"/>
  <c r="F247" i="6"/>
  <c r="A248" i="6" s="1"/>
  <c r="B323" i="2"/>
  <c r="E323" i="2"/>
  <c r="F323" i="2" s="1"/>
  <c r="A324" i="2" s="1"/>
  <c r="C323" i="2"/>
  <c r="D323" i="2" s="1"/>
  <c r="H323" i="2" s="1"/>
  <c r="C248" i="6" l="1"/>
  <c r="K248" i="6" s="1"/>
  <c r="E248" i="6"/>
  <c r="G248" i="6" s="1"/>
  <c r="B248" i="6"/>
  <c r="I248" i="6"/>
  <c r="J248" i="6" s="1"/>
  <c r="B324" i="2"/>
  <c r="E324" i="2"/>
  <c r="F324" i="2" s="1"/>
  <c r="A325" i="2" s="1"/>
  <c r="C324" i="2"/>
  <c r="D324" i="2" s="1"/>
  <c r="H324" i="2" s="1"/>
  <c r="G323" i="2"/>
  <c r="L248" i="6" l="1"/>
  <c r="G324" i="2"/>
  <c r="D248" i="6"/>
  <c r="H248" i="6" s="1"/>
  <c r="F248" i="6"/>
  <c r="A249" i="6" s="1"/>
  <c r="C325" i="2"/>
  <c r="E325" i="2"/>
  <c r="G325" i="2" s="1"/>
  <c r="B325" i="2"/>
  <c r="E249" i="6" l="1"/>
  <c r="G249" i="6" s="1"/>
  <c r="I249" i="6"/>
  <c r="J249" i="6" s="1"/>
  <c r="C249" i="6"/>
  <c r="D249" i="6" s="1"/>
  <c r="H249" i="6" s="1"/>
  <c r="B249" i="6"/>
  <c r="F249" i="6" s="1"/>
  <c r="A250" i="6" s="1"/>
  <c r="D325" i="2"/>
  <c r="H325" i="2" s="1"/>
  <c r="F325" i="2"/>
  <c r="A326" i="2" s="1"/>
  <c r="C250" i="6" l="1"/>
  <c r="I250" i="6"/>
  <c r="J250" i="6" s="1"/>
  <c r="B250" i="6"/>
  <c r="E250" i="6"/>
  <c r="G250" i="6" s="1"/>
  <c r="K249" i="6"/>
  <c r="K250" i="6" s="1"/>
  <c r="E326" i="2"/>
  <c r="G326" i="2" s="1"/>
  <c r="B326" i="2"/>
  <c r="C326" i="2"/>
  <c r="D326" i="2" s="1"/>
  <c r="L250" i="6" l="1"/>
  <c r="L249" i="6"/>
  <c r="D250" i="6"/>
  <c r="H250" i="6" s="1"/>
  <c r="F250" i="6"/>
  <c r="A251" i="6" s="1"/>
  <c r="H326" i="2"/>
  <c r="F326" i="2"/>
  <c r="A327" i="2" s="1"/>
  <c r="B251" i="6" l="1"/>
  <c r="I251" i="6"/>
  <c r="J251" i="6" s="1"/>
  <c r="E251" i="6"/>
  <c r="G251" i="6" s="1"/>
  <c r="C251" i="6"/>
  <c r="D251" i="6" s="1"/>
  <c r="H251" i="6" s="1"/>
  <c r="C327" i="2"/>
  <c r="E327" i="2"/>
  <c r="B327" i="2"/>
  <c r="F327" i="2" l="1"/>
  <c r="A328" i="2" s="1"/>
  <c r="F251" i="6"/>
  <c r="A252" i="6" s="1"/>
  <c r="K251" i="6"/>
  <c r="L251" i="6" s="1"/>
  <c r="D327" i="2"/>
  <c r="H327" i="2"/>
  <c r="G327" i="2"/>
  <c r="B328" i="2"/>
  <c r="E328" i="2"/>
  <c r="G328" i="2" s="1"/>
  <c r="C328" i="2"/>
  <c r="C252" i="6" l="1"/>
  <c r="E252" i="6"/>
  <c r="G252" i="6" s="1"/>
  <c r="K252" i="6"/>
  <c r="I252" i="6"/>
  <c r="J252" i="6" s="1"/>
  <c r="L252" i="6" s="1"/>
  <c r="B252" i="6"/>
  <c r="D328" i="2"/>
  <c r="H328" i="2" s="1"/>
  <c r="F328" i="2"/>
  <c r="A329" i="2" s="1"/>
  <c r="D252" i="6" l="1"/>
  <c r="H252" i="6" s="1"/>
  <c r="F252" i="6"/>
  <c r="A253" i="6" s="1"/>
  <c r="C329" i="2"/>
  <c r="E329" i="2"/>
  <c r="G329" i="2" s="1"/>
  <c r="B329" i="2"/>
  <c r="F329" i="2" l="1"/>
  <c r="A330" i="2" s="1"/>
  <c r="E330" i="2" s="1"/>
  <c r="G330" i="2" s="1"/>
  <c r="I253" i="6"/>
  <c r="J253" i="6" s="1"/>
  <c r="E253" i="6"/>
  <c r="G253" i="6" s="1"/>
  <c r="C253" i="6"/>
  <c r="D253" i="6" s="1"/>
  <c r="H253" i="6" s="1"/>
  <c r="B253" i="6"/>
  <c r="F253" i="6" s="1"/>
  <c r="A254" i="6" s="1"/>
  <c r="B330" i="2"/>
  <c r="D329" i="2"/>
  <c r="H329" i="2" s="1"/>
  <c r="K253" i="6" l="1"/>
  <c r="L253" i="6" s="1"/>
  <c r="C330" i="2"/>
  <c r="D330" i="2"/>
  <c r="I254" i="6"/>
  <c r="J254" i="6" s="1"/>
  <c r="C254" i="6"/>
  <c r="K254" i="6" s="1"/>
  <c r="E254" i="6"/>
  <c r="G254" i="6" s="1"/>
  <c r="B254" i="6"/>
  <c r="F330" i="2"/>
  <c r="A331" i="2" s="1"/>
  <c r="H330" i="2"/>
  <c r="F254" i="6" l="1"/>
  <c r="A255" i="6" s="1"/>
  <c r="L254" i="6"/>
  <c r="I255" i="6"/>
  <c r="J255" i="6" s="1"/>
  <c r="B255" i="6"/>
  <c r="E255" i="6"/>
  <c r="G255" i="6" s="1"/>
  <c r="C255" i="6"/>
  <c r="D255" i="6" s="1"/>
  <c r="H255" i="6" s="1"/>
  <c r="D254" i="6"/>
  <c r="H254" i="6" s="1"/>
  <c r="E331" i="2"/>
  <c r="G331" i="2" s="1"/>
  <c r="B331" i="2"/>
  <c r="C331" i="2"/>
  <c r="D331" i="2" s="1"/>
  <c r="F255" i="6" l="1"/>
  <c r="A256" i="6" s="1"/>
  <c r="F331" i="2"/>
  <c r="A332" i="2" s="1"/>
  <c r="B256" i="6"/>
  <c r="C256" i="6"/>
  <c r="E256" i="6"/>
  <c r="G256" i="6" s="1"/>
  <c r="I256" i="6"/>
  <c r="J256" i="6" s="1"/>
  <c r="K255" i="6"/>
  <c r="K256" i="6" s="1"/>
  <c r="B332" i="2"/>
  <c r="C332" i="2"/>
  <c r="E332" i="2"/>
  <c r="G332" i="2" s="1"/>
  <c r="H331" i="2"/>
  <c r="L256" i="6" l="1"/>
  <c r="F256" i="6"/>
  <c r="A257" i="6" s="1"/>
  <c r="L255" i="6"/>
  <c r="D256" i="6"/>
  <c r="H256" i="6" s="1"/>
  <c r="F332" i="2"/>
  <c r="A333" i="2" s="1"/>
  <c r="D332" i="2"/>
  <c r="H332" i="2"/>
  <c r="E257" i="6" l="1"/>
  <c r="G257" i="6" s="1"/>
  <c r="I257" i="6"/>
  <c r="J257" i="6" s="1"/>
  <c r="C257" i="6"/>
  <c r="K257" i="6" s="1"/>
  <c r="B257" i="6"/>
  <c r="F257" i="6" s="1"/>
  <c r="A258" i="6" s="1"/>
  <c r="C333" i="2"/>
  <c r="B333" i="2"/>
  <c r="E333" i="2"/>
  <c r="G333" i="2" s="1"/>
  <c r="D257" i="6" l="1"/>
  <c r="H257" i="6" s="1"/>
  <c r="L257" i="6"/>
  <c r="C258" i="6"/>
  <c r="B258" i="6"/>
  <c r="E258" i="6"/>
  <c r="G258" i="6" s="1"/>
  <c r="I258" i="6"/>
  <c r="J258" i="6" s="1"/>
  <c r="F333" i="2"/>
  <c r="A334" i="2" s="1"/>
  <c r="C334" i="2" s="1"/>
  <c r="D333" i="2"/>
  <c r="H333" i="2" s="1"/>
  <c r="F258" i="6" l="1"/>
  <c r="A259" i="6" s="1"/>
  <c r="D258" i="6"/>
  <c r="H258" i="6" s="1"/>
  <c r="B334" i="2"/>
  <c r="B259" i="6"/>
  <c r="C259" i="6"/>
  <c r="I259" i="6"/>
  <c r="J259" i="6" s="1"/>
  <c r="E259" i="6"/>
  <c r="G259" i="6" s="1"/>
  <c r="K258" i="6"/>
  <c r="L258" i="6" s="1"/>
  <c r="E334" i="2"/>
  <c r="F334" i="2" s="1"/>
  <c r="A335" i="2" s="1"/>
  <c r="B335" i="2" s="1"/>
  <c r="F259" i="6" l="1"/>
  <c r="A260" i="6" s="1"/>
  <c r="D259" i="6"/>
  <c r="H259" i="6" s="1"/>
  <c r="K259" i="6"/>
  <c r="L259" i="6" s="1"/>
  <c r="E335" i="2"/>
  <c r="D335" i="2" s="1"/>
  <c r="C335" i="2"/>
  <c r="G334" i="2"/>
  <c r="D334" i="2"/>
  <c r="H334" i="2" s="1"/>
  <c r="F335" i="2"/>
  <c r="A336" i="2" s="1"/>
  <c r="G335" i="2"/>
  <c r="H335" i="2"/>
  <c r="C260" i="6" l="1"/>
  <c r="B260" i="6"/>
  <c r="I260" i="6"/>
  <c r="J260" i="6" s="1"/>
  <c r="E260" i="6"/>
  <c r="G260" i="6" s="1"/>
  <c r="C336" i="2"/>
  <c r="E336" i="2"/>
  <c r="G336" i="2" s="1"/>
  <c r="B336" i="2"/>
  <c r="F260" i="6" l="1"/>
  <c r="A261" i="6" s="1"/>
  <c r="D260" i="6"/>
  <c r="H260" i="6" s="1"/>
  <c r="F336" i="2"/>
  <c r="A337" i="2" s="1"/>
  <c r="C261" i="6"/>
  <c r="E261" i="6"/>
  <c r="G261" i="6" s="1"/>
  <c r="I261" i="6"/>
  <c r="J261" i="6" s="1"/>
  <c r="B261" i="6"/>
  <c r="K260" i="6"/>
  <c r="L260" i="6" s="1"/>
  <c r="E337" i="2"/>
  <c r="G337" i="2" s="1"/>
  <c r="B337" i="2"/>
  <c r="C337" i="2"/>
  <c r="D337" i="2" s="1"/>
  <c r="F337" i="2"/>
  <c r="A338" i="2" s="1"/>
  <c r="D336" i="2"/>
  <c r="H336" i="2" s="1"/>
  <c r="D261" i="6" l="1"/>
  <c r="H261" i="6" s="1"/>
  <c r="F261" i="6"/>
  <c r="A262" i="6" s="1"/>
  <c r="C262" i="6" s="1"/>
  <c r="I262" i="6"/>
  <c r="J262" i="6" s="1"/>
  <c r="B262" i="6"/>
  <c r="K261" i="6"/>
  <c r="H337" i="2"/>
  <c r="B338" i="2"/>
  <c r="E338" i="2"/>
  <c r="G338" i="2" s="1"/>
  <c r="C338" i="2"/>
  <c r="D338" i="2" s="1"/>
  <c r="K262" i="6" l="1"/>
  <c r="L262" i="6" s="1"/>
  <c r="E262" i="6"/>
  <c r="G262" i="6" s="1"/>
  <c r="L261" i="6"/>
  <c r="F338" i="2"/>
  <c r="A339" i="2" s="1"/>
  <c r="H338" i="2"/>
  <c r="F262" i="6" l="1"/>
  <c r="A263" i="6" s="1"/>
  <c r="D262" i="6"/>
  <c r="H262" i="6" s="1"/>
  <c r="E263" i="6"/>
  <c r="G263" i="6" s="1"/>
  <c r="C263" i="6"/>
  <c r="K263" i="6"/>
  <c r="B263" i="6"/>
  <c r="F263" i="6" s="1"/>
  <c r="A264" i="6" s="1"/>
  <c r="I263" i="6"/>
  <c r="J263" i="6" s="1"/>
  <c r="L263" i="6" s="1"/>
  <c r="D263" i="6"/>
  <c r="H263" i="6" s="1"/>
  <c r="B339" i="2"/>
  <c r="E339" i="2"/>
  <c r="G339" i="2" s="1"/>
  <c r="C339" i="2"/>
  <c r="D339" i="2" l="1"/>
  <c r="E264" i="6"/>
  <c r="G264" i="6" s="1"/>
  <c r="C264" i="6"/>
  <c r="K264" i="6" s="1"/>
  <c r="I264" i="6"/>
  <c r="J264" i="6" s="1"/>
  <c r="B264" i="6"/>
  <c r="F264" i="6" s="1"/>
  <c r="A265" i="6" s="1"/>
  <c r="F339" i="2"/>
  <c r="A340" i="2" s="1"/>
  <c r="H339" i="2"/>
  <c r="D264" i="6" l="1"/>
  <c r="H264" i="6" s="1"/>
  <c r="C265" i="6"/>
  <c r="E265" i="6"/>
  <c r="G265" i="6" s="1"/>
  <c r="I265" i="6"/>
  <c r="J265" i="6" s="1"/>
  <c r="B265" i="6"/>
  <c r="F265" i="6" s="1"/>
  <c r="A266" i="6" s="1"/>
  <c r="L264" i="6"/>
  <c r="E340" i="2"/>
  <c r="G340" i="2" s="1"/>
  <c r="C340" i="2"/>
  <c r="B340" i="2"/>
  <c r="D265" i="6" l="1"/>
  <c r="H265" i="6" s="1"/>
  <c r="D340" i="2"/>
  <c r="E266" i="6"/>
  <c r="G266" i="6" s="1"/>
  <c r="C266" i="6"/>
  <c r="B266" i="6"/>
  <c r="F266" i="6" s="1"/>
  <c r="A267" i="6" s="1"/>
  <c r="I266" i="6"/>
  <c r="J266" i="6" s="1"/>
  <c r="D266" i="6"/>
  <c r="H266" i="6" s="1"/>
  <c r="K265" i="6"/>
  <c r="L265" i="6" s="1"/>
  <c r="F340" i="2"/>
  <c r="A341" i="2" s="1"/>
  <c r="H340" i="2"/>
  <c r="I267" i="6" l="1"/>
  <c r="J267" i="6" s="1"/>
  <c r="C267" i="6"/>
  <c r="E267" i="6"/>
  <c r="G267" i="6" s="1"/>
  <c r="B267" i="6"/>
  <c r="K266" i="6"/>
  <c r="L266" i="6" s="1"/>
  <c r="B341" i="2"/>
  <c r="E341" i="2"/>
  <c r="G341" i="2" s="1"/>
  <c r="C341" i="2"/>
  <c r="D267" i="6" l="1"/>
  <c r="H267" i="6" s="1"/>
  <c r="K267" i="6"/>
  <c r="L267" i="6" s="1"/>
  <c r="F267" i="6"/>
  <c r="A268" i="6" s="1"/>
  <c r="D341" i="2"/>
  <c r="F341" i="2"/>
  <c r="A342" i="2" s="1"/>
  <c r="H341" i="2"/>
  <c r="C268" i="6" l="1"/>
  <c r="I268" i="6"/>
  <c r="J268" i="6" s="1"/>
  <c r="K268" i="6"/>
  <c r="B268" i="6"/>
  <c r="E268" i="6"/>
  <c r="G268" i="6" s="1"/>
  <c r="E342" i="2"/>
  <c r="B342" i="2"/>
  <c r="C342" i="2"/>
  <c r="L268" i="6" l="1"/>
  <c r="F268" i="6"/>
  <c r="A269" i="6" s="1"/>
  <c r="D268" i="6"/>
  <c r="H268" i="6" s="1"/>
  <c r="D342" i="2"/>
  <c r="F342" i="2"/>
  <c r="A343" i="2" s="1"/>
  <c r="G342" i="2"/>
  <c r="H342" i="2"/>
  <c r="B269" i="6" l="1"/>
  <c r="C269" i="6"/>
  <c r="K269" i="6" s="1"/>
  <c r="I269" i="6"/>
  <c r="J269" i="6" s="1"/>
  <c r="L269" i="6" s="1"/>
  <c r="E269" i="6"/>
  <c r="G269" i="6" s="1"/>
  <c r="C343" i="2"/>
  <c r="B343" i="2"/>
  <c r="E343" i="2"/>
  <c r="G343" i="2" s="1"/>
  <c r="D269" i="6" l="1"/>
  <c r="H269" i="6" s="1"/>
  <c r="F269" i="6"/>
  <c r="A270" i="6" s="1"/>
  <c r="D343" i="2"/>
  <c r="F343" i="2"/>
  <c r="A344" i="2" s="1"/>
  <c r="H343" i="2"/>
  <c r="C270" i="6" l="1"/>
  <c r="E270" i="6"/>
  <c r="G270" i="6" s="1"/>
  <c r="B270" i="6"/>
  <c r="I270" i="6"/>
  <c r="J270" i="6" s="1"/>
  <c r="K270" i="6"/>
  <c r="D270" i="6"/>
  <c r="H270" i="6" s="1"/>
  <c r="F270" i="6"/>
  <c r="A271" i="6" s="1"/>
  <c r="C344" i="2"/>
  <c r="E344" i="2"/>
  <c r="D344" i="2" s="1"/>
  <c r="B344" i="2"/>
  <c r="L270" i="6" l="1"/>
  <c r="C271" i="6"/>
  <c r="B271" i="6"/>
  <c r="E271" i="6"/>
  <c r="G271" i="6" s="1"/>
  <c r="I271" i="6"/>
  <c r="J271" i="6" s="1"/>
  <c r="K271" i="6"/>
  <c r="G344" i="2"/>
  <c r="F344" i="2"/>
  <c r="A345" i="2" s="1"/>
  <c r="H344" i="2"/>
  <c r="L271" i="6" l="1"/>
  <c r="D271" i="6"/>
  <c r="H271" i="6" s="1"/>
  <c r="F271" i="6"/>
  <c r="A272" i="6" s="1"/>
  <c r="C345" i="2"/>
  <c r="B345" i="2"/>
  <c r="E345" i="2"/>
  <c r="G345" i="2" s="1"/>
  <c r="C272" i="6" l="1"/>
  <c r="K272" i="6" s="1"/>
  <c r="I272" i="6"/>
  <c r="J272" i="6" s="1"/>
  <c r="L272" i="6" s="1"/>
  <c r="E272" i="6"/>
  <c r="G272" i="6" s="1"/>
  <c r="B272" i="6"/>
  <c r="D272" i="6"/>
  <c r="H272" i="6" s="1"/>
  <c r="F272" i="6"/>
  <c r="A273" i="6" s="1"/>
  <c r="F345" i="2"/>
  <c r="A346" i="2" s="1"/>
  <c r="D345" i="2"/>
  <c r="H345" i="2" s="1"/>
  <c r="C273" i="6" l="1"/>
  <c r="B273" i="6"/>
  <c r="K273" i="6"/>
  <c r="I273" i="6"/>
  <c r="J273" i="6" s="1"/>
  <c r="L273" i="6" s="1"/>
  <c r="E273" i="6"/>
  <c r="G273" i="6" s="1"/>
  <c r="B346" i="2"/>
  <c r="C346" i="2"/>
  <c r="E346" i="2"/>
  <c r="F346" i="2" s="1"/>
  <c r="A347" i="2" s="1"/>
  <c r="D273" i="6" l="1"/>
  <c r="H273" i="6" s="1"/>
  <c r="F273" i="6"/>
  <c r="A274" i="6" s="1"/>
  <c r="D346" i="2"/>
  <c r="H346" i="2" s="1"/>
  <c r="G346" i="2"/>
  <c r="E347" i="2"/>
  <c r="G347" i="2" s="1"/>
  <c r="C347" i="2"/>
  <c r="D347" i="2" s="1"/>
  <c r="B347" i="2"/>
  <c r="H347" i="2" l="1"/>
  <c r="I274" i="6"/>
  <c r="J274" i="6" s="1"/>
  <c r="E274" i="6"/>
  <c r="G274" i="6" s="1"/>
  <c r="B274" i="6"/>
  <c r="C274" i="6"/>
  <c r="K274" i="6" s="1"/>
  <c r="F347" i="2"/>
  <c r="A348" i="2" s="1"/>
  <c r="B348" i="2" s="1"/>
  <c r="L274" i="6" l="1"/>
  <c r="E348" i="2"/>
  <c r="G348" i="2" s="1"/>
  <c r="C348" i="2"/>
  <c r="D274" i="6"/>
  <c r="H274" i="6" s="1"/>
  <c r="F274" i="6"/>
  <c r="A275" i="6" s="1"/>
  <c r="F348" i="2"/>
  <c r="A349" i="2" s="1"/>
  <c r="E349" i="2" s="1"/>
  <c r="F349" i="2" s="1"/>
  <c r="A350" i="2" s="1"/>
  <c r="D348" i="2"/>
  <c r="H348" i="2" s="1"/>
  <c r="B349" i="2"/>
  <c r="C349" i="2"/>
  <c r="B275" i="6" l="1"/>
  <c r="I275" i="6"/>
  <c r="J275" i="6" s="1"/>
  <c r="C275" i="6"/>
  <c r="E275" i="6"/>
  <c r="G275" i="6" s="1"/>
  <c r="D349" i="2"/>
  <c r="H349" i="2" s="1"/>
  <c r="G349" i="2"/>
  <c r="B350" i="2"/>
  <c r="C350" i="2"/>
  <c r="E350" i="2"/>
  <c r="F350" i="2" s="1"/>
  <c r="A351" i="2" s="1"/>
  <c r="D275" i="6" l="1"/>
  <c r="H275" i="6" s="1"/>
  <c r="F275" i="6"/>
  <c r="A276" i="6" s="1"/>
  <c r="C276" i="6" s="1"/>
  <c r="K275" i="6"/>
  <c r="L275" i="6" s="1"/>
  <c r="G350" i="2"/>
  <c r="D350" i="2"/>
  <c r="H350" i="2"/>
  <c r="C351" i="2"/>
  <c r="E351" i="2"/>
  <c r="G351" i="2" s="1"/>
  <c r="B351" i="2"/>
  <c r="E276" i="6" l="1"/>
  <c r="G276" i="6" s="1"/>
  <c r="D276" i="6"/>
  <c r="H276" i="6" s="1"/>
  <c r="I276" i="6"/>
  <c r="J276" i="6" s="1"/>
  <c r="B276" i="6"/>
  <c r="F276" i="6" s="1"/>
  <c r="A277" i="6" s="1"/>
  <c r="F351" i="2"/>
  <c r="A352" i="2" s="1"/>
  <c r="K276" i="6"/>
  <c r="D351" i="2"/>
  <c r="H351" i="2" s="1"/>
  <c r="B352" i="2"/>
  <c r="E352" i="2"/>
  <c r="G352" i="2" s="1"/>
  <c r="C352" i="2"/>
  <c r="L276" i="6" l="1"/>
  <c r="B277" i="6"/>
  <c r="C277" i="6"/>
  <c r="I277" i="6"/>
  <c r="J277" i="6" s="1"/>
  <c r="E277" i="6"/>
  <c r="G277" i="6" s="1"/>
  <c r="D352" i="2"/>
  <c r="H352" i="2" s="1"/>
  <c r="K277" i="6"/>
  <c r="F352" i="2"/>
  <c r="A353" i="2" s="1"/>
  <c r="B353" i="2" s="1"/>
  <c r="L277" i="6" l="1"/>
  <c r="D277" i="6"/>
  <c r="H277" i="6" s="1"/>
  <c r="F277" i="6"/>
  <c r="A278" i="6" s="1"/>
  <c r="E353" i="2"/>
  <c r="F353" i="2" s="1"/>
  <c r="A354" i="2" s="1"/>
  <c r="B354" i="2" s="1"/>
  <c r="C353" i="2"/>
  <c r="D353" i="2" s="1"/>
  <c r="H353" i="2" s="1"/>
  <c r="C278" i="6" l="1"/>
  <c r="E278" i="6"/>
  <c r="G278" i="6" s="1"/>
  <c r="B278" i="6"/>
  <c r="I278" i="6"/>
  <c r="J278" i="6" s="1"/>
  <c r="C354" i="2"/>
  <c r="E354" i="2"/>
  <c r="G354" i="2" s="1"/>
  <c r="G353" i="2"/>
  <c r="F354" i="2"/>
  <c r="A355" i="2" s="1"/>
  <c r="E355" i="2" s="1"/>
  <c r="G355" i="2" s="1"/>
  <c r="F278" i="6" l="1"/>
  <c r="A279" i="6" s="1"/>
  <c r="K278" i="6"/>
  <c r="L278" i="6" s="1"/>
  <c r="D278" i="6"/>
  <c r="H278" i="6" s="1"/>
  <c r="B355" i="2"/>
  <c r="C355" i="2"/>
  <c r="D354" i="2"/>
  <c r="H354" i="2" s="1"/>
  <c r="D355" i="2"/>
  <c r="H355" i="2" s="1"/>
  <c r="F355" i="2"/>
  <c r="A356" i="2" s="1"/>
  <c r="B356" i="2" s="1"/>
  <c r="E279" i="6" l="1"/>
  <c r="G279" i="6" s="1"/>
  <c r="C279" i="6"/>
  <c r="D279" i="6" s="1"/>
  <c r="H279" i="6" s="1"/>
  <c r="I279" i="6"/>
  <c r="J279" i="6" s="1"/>
  <c r="B279" i="6"/>
  <c r="F279" i="6" s="1"/>
  <c r="A280" i="6" s="1"/>
  <c r="C356" i="2"/>
  <c r="E356" i="2"/>
  <c r="G356" i="2" s="1"/>
  <c r="K279" i="6" l="1"/>
  <c r="L279" i="6" s="1"/>
  <c r="B280" i="6"/>
  <c r="I280" i="6"/>
  <c r="J280" i="6" s="1"/>
  <c r="E280" i="6"/>
  <c r="G280" i="6" s="1"/>
  <c r="C280" i="6"/>
  <c r="K280" i="6" s="1"/>
  <c r="F356" i="2"/>
  <c r="A357" i="2" s="1"/>
  <c r="D356" i="2"/>
  <c r="H356" i="2" s="1"/>
  <c r="D280" i="6" l="1"/>
  <c r="H280" i="6" s="1"/>
  <c r="L280" i="6"/>
  <c r="F280" i="6"/>
  <c r="A281" i="6" s="1"/>
  <c r="E357" i="2"/>
  <c r="G357" i="2" s="1"/>
  <c r="B357" i="2"/>
  <c r="C357" i="2"/>
  <c r="D357" i="2" s="1"/>
  <c r="H357" i="2" s="1"/>
  <c r="C281" i="6" l="1"/>
  <c r="K281" i="6" s="1"/>
  <c r="E281" i="6"/>
  <c r="G281" i="6" s="1"/>
  <c r="I281" i="6"/>
  <c r="J281" i="6" s="1"/>
  <c r="L281" i="6" s="1"/>
  <c r="B281" i="6"/>
  <c r="F357" i="2"/>
  <c r="A358" i="2" s="1"/>
  <c r="E358" i="2" s="1"/>
  <c r="C358" i="2"/>
  <c r="D358" i="2" s="1"/>
  <c r="B358" i="2"/>
  <c r="F281" i="6" l="1"/>
  <c r="A282" i="6" s="1"/>
  <c r="D281" i="6"/>
  <c r="H281" i="6" s="1"/>
  <c r="F358" i="2"/>
  <c r="A359" i="2" s="1"/>
  <c r="G358" i="2"/>
  <c r="H358" i="2"/>
  <c r="C359" i="2"/>
  <c r="E359" i="2"/>
  <c r="G359" i="2" s="1"/>
  <c r="B359" i="2"/>
  <c r="C282" i="6" l="1"/>
  <c r="K282" i="6" s="1"/>
  <c r="B282" i="6"/>
  <c r="I282" i="6"/>
  <c r="J282" i="6" s="1"/>
  <c r="L282" i="6" s="1"/>
  <c r="E282" i="6"/>
  <c r="G282" i="6" s="1"/>
  <c r="D359" i="2"/>
  <c r="H359" i="2"/>
  <c r="F359" i="2"/>
  <c r="A360" i="2" s="1"/>
  <c r="D282" i="6" l="1"/>
  <c r="H282" i="6" s="1"/>
  <c r="F282" i="6"/>
  <c r="A283" i="6" s="1"/>
  <c r="B360" i="2"/>
  <c r="E360" i="2"/>
  <c r="G360" i="2" s="1"/>
  <c r="C360" i="2"/>
  <c r="B283" i="6" l="1"/>
  <c r="C283" i="6"/>
  <c r="K283" i="6" s="1"/>
  <c r="E283" i="6"/>
  <c r="G283" i="6" s="1"/>
  <c r="I283" i="6"/>
  <c r="J283" i="6" s="1"/>
  <c r="L283" i="6" s="1"/>
  <c r="D360" i="2"/>
  <c r="H360" i="2"/>
  <c r="F360" i="2"/>
  <c r="A361" i="2" s="1"/>
  <c r="F283" i="6" l="1"/>
  <c r="A284" i="6" s="1"/>
  <c r="D283" i="6"/>
  <c r="H283" i="6" s="1"/>
  <c r="C361" i="2"/>
  <c r="B361" i="2"/>
  <c r="E361" i="2"/>
  <c r="F361" i="2" s="1"/>
  <c r="A362" i="2" s="1"/>
  <c r="B284" i="6" l="1"/>
  <c r="E284" i="6"/>
  <c r="G284" i="6" s="1"/>
  <c r="I284" i="6"/>
  <c r="J284" i="6" s="1"/>
  <c r="C284" i="6"/>
  <c r="K284" i="6" s="1"/>
  <c r="F284" i="6"/>
  <c r="A285" i="6" s="1"/>
  <c r="D361" i="2"/>
  <c r="H361" i="2" s="1"/>
  <c r="G361" i="2"/>
  <c r="C362" i="2"/>
  <c r="E362" i="2"/>
  <c r="F362" i="2" s="1"/>
  <c r="A363" i="2" s="1"/>
  <c r="B362" i="2"/>
  <c r="D284" i="6" l="1"/>
  <c r="H284" i="6" s="1"/>
  <c r="I285" i="6"/>
  <c r="J285" i="6" s="1"/>
  <c r="B285" i="6"/>
  <c r="E285" i="6"/>
  <c r="G285" i="6" s="1"/>
  <c r="C285" i="6"/>
  <c r="K285" i="6" s="1"/>
  <c r="D285" i="6"/>
  <c r="H285" i="6" s="1"/>
  <c r="L284" i="6"/>
  <c r="D362" i="2"/>
  <c r="H362" i="2" s="1"/>
  <c r="G362" i="2"/>
  <c r="C363" i="2"/>
  <c r="B363" i="2"/>
  <c r="E363" i="2"/>
  <c r="F363" i="2" s="1"/>
  <c r="A364" i="2" s="1"/>
  <c r="L285" i="6" l="1"/>
  <c r="F285" i="6"/>
  <c r="A286" i="6" s="1"/>
  <c r="C286" i="6" s="1"/>
  <c r="B286" i="6"/>
  <c r="E286" i="6"/>
  <c r="G286" i="6" s="1"/>
  <c r="I286" i="6"/>
  <c r="J286" i="6" s="1"/>
  <c r="F286" i="6"/>
  <c r="A287" i="6" s="1"/>
  <c r="I287" i="6" s="1"/>
  <c r="J287" i="6" s="1"/>
  <c r="E287" i="6"/>
  <c r="G287" i="6" s="1"/>
  <c r="C287" i="6"/>
  <c r="B364" i="2"/>
  <c r="C364" i="2"/>
  <c r="E364" i="2"/>
  <c r="G364" i="2" s="1"/>
  <c r="G363" i="2"/>
  <c r="D363" i="2"/>
  <c r="H363" i="2" s="1"/>
  <c r="K286" i="6" l="1"/>
  <c r="D286" i="6"/>
  <c r="H286" i="6" s="1"/>
  <c r="K287" i="6"/>
  <c r="L286" i="6"/>
  <c r="B287" i="6"/>
  <c r="L287" i="6"/>
  <c r="D287" i="6"/>
  <c r="H287" i="6" s="1"/>
  <c r="F287" i="6"/>
  <c r="A288" i="6" s="1"/>
  <c r="F364" i="2"/>
  <c r="A365" i="2" s="1"/>
  <c r="D364" i="2"/>
  <c r="H364" i="2" s="1"/>
  <c r="C288" i="6" l="1"/>
  <c r="K288" i="6"/>
  <c r="E288" i="6"/>
  <c r="G288" i="6" s="1"/>
  <c r="B288" i="6"/>
  <c r="I288" i="6"/>
  <c r="J288" i="6" s="1"/>
  <c r="L288" i="6" s="1"/>
  <c r="C365" i="2"/>
  <c r="E365" i="2"/>
  <c r="G365" i="2" s="1"/>
  <c r="B365" i="2"/>
  <c r="F288" i="6" l="1"/>
  <c r="A289" i="6" s="1"/>
  <c r="E289" i="6"/>
  <c r="G289" i="6" s="1"/>
  <c r="B289" i="6"/>
  <c r="C289" i="6"/>
  <c r="K289" i="6" s="1"/>
  <c r="I289" i="6"/>
  <c r="J289" i="6" s="1"/>
  <c r="L289" i="6" s="1"/>
  <c r="F289" i="6"/>
  <c r="A290" i="6" s="1"/>
  <c r="D289" i="6"/>
  <c r="H289" i="6" s="1"/>
  <c r="D288" i="6"/>
  <c r="H288" i="6" s="1"/>
  <c r="F365" i="2"/>
  <c r="A366" i="2" s="1"/>
  <c r="D365" i="2"/>
  <c r="H365" i="2" s="1"/>
  <c r="E290" i="6" l="1"/>
  <c r="G290" i="6" s="1"/>
  <c r="C290" i="6"/>
  <c r="D290" i="6"/>
  <c r="H290" i="6" s="1"/>
  <c r="K290" i="6"/>
  <c r="B290" i="6"/>
  <c r="F290" i="6" s="1"/>
  <c r="A291" i="6" s="1"/>
  <c r="I290" i="6"/>
  <c r="J290" i="6" s="1"/>
  <c r="L290" i="6" s="1"/>
  <c r="B366" i="2"/>
  <c r="C366" i="2"/>
  <c r="E366" i="2"/>
  <c r="G366" i="2" s="1"/>
  <c r="I291" i="6" l="1"/>
  <c r="J291" i="6" s="1"/>
  <c r="C291" i="6"/>
  <c r="K291" i="6" s="1"/>
  <c r="E291" i="6"/>
  <c r="G291" i="6" s="1"/>
  <c r="B291" i="6"/>
  <c r="F366" i="2"/>
  <c r="A367" i="2" s="1"/>
  <c r="D366" i="2"/>
  <c r="H366" i="2"/>
  <c r="L291" i="6" l="1"/>
  <c r="D291" i="6"/>
  <c r="H291" i="6" s="1"/>
  <c r="F291" i="6"/>
  <c r="A292" i="6" s="1"/>
  <c r="E367" i="2"/>
  <c r="G367" i="2" s="1"/>
  <c r="C367" i="2"/>
  <c r="B367" i="2"/>
  <c r="F367" i="2" s="1"/>
  <c r="A368" i="2" s="1"/>
  <c r="D367" i="2" l="1"/>
  <c r="B292" i="6"/>
  <c r="C292" i="6"/>
  <c r="I292" i="6"/>
  <c r="J292" i="6" s="1"/>
  <c r="E292" i="6"/>
  <c r="G292" i="6" s="1"/>
  <c r="K292" i="6"/>
  <c r="B368" i="2"/>
  <c r="E368" i="2"/>
  <c r="G368" i="2" s="1"/>
  <c r="C368" i="2"/>
  <c r="H367" i="2"/>
  <c r="L292" i="6" l="1"/>
  <c r="F292" i="6"/>
  <c r="A293" i="6" s="1"/>
  <c r="D292" i="6"/>
  <c r="H292" i="6" s="1"/>
  <c r="F368" i="2"/>
  <c r="A369" i="2" s="1"/>
  <c r="D368" i="2"/>
  <c r="H368" i="2"/>
  <c r="B293" i="6" l="1"/>
  <c r="I293" i="6"/>
  <c r="J293" i="6" s="1"/>
  <c r="E293" i="6"/>
  <c r="G293" i="6" s="1"/>
  <c r="C293" i="6"/>
  <c r="C369" i="2"/>
  <c r="E369" i="2"/>
  <c r="G369" i="2" s="1"/>
  <c r="B369" i="2"/>
  <c r="D293" i="6" l="1"/>
  <c r="H293" i="6" s="1"/>
  <c r="D369" i="2"/>
  <c r="K293" i="6"/>
  <c r="L293" i="6" s="1"/>
  <c r="F293" i="6"/>
  <c r="A294" i="6" s="1"/>
  <c r="F369" i="2"/>
  <c r="A370" i="2" s="1"/>
  <c r="H369" i="2"/>
  <c r="C294" i="6" l="1"/>
  <c r="B294" i="6"/>
  <c r="K294" i="6"/>
  <c r="I294" i="6"/>
  <c r="J294" i="6" s="1"/>
  <c r="L294" i="6" s="1"/>
  <c r="E294" i="6"/>
  <c r="G294" i="6" s="1"/>
  <c r="E370" i="2"/>
  <c r="G370" i="2" s="1"/>
  <c r="B370" i="2"/>
  <c r="C370" i="2"/>
  <c r="D370" i="2" s="1"/>
  <c r="H370" i="2" s="1"/>
  <c r="F294" i="6" l="1"/>
  <c r="A295" i="6" s="1"/>
  <c r="D294" i="6"/>
  <c r="H294" i="6" s="1"/>
  <c r="F370" i="2"/>
  <c r="A371" i="2" s="1"/>
  <c r="B295" i="6"/>
  <c r="C295" i="6"/>
  <c r="I295" i="6"/>
  <c r="J295" i="6" s="1"/>
  <c r="E295" i="6"/>
  <c r="G295" i="6" s="1"/>
  <c r="C371" i="2"/>
  <c r="B371" i="2"/>
  <c r="E371" i="2"/>
  <c r="F371" i="2" s="1"/>
  <c r="A372" i="2" s="1"/>
  <c r="D295" i="6" l="1"/>
  <c r="H295" i="6" s="1"/>
  <c r="D371" i="2"/>
  <c r="K295" i="6"/>
  <c r="L295" i="6" s="1"/>
  <c r="F295" i="6"/>
  <c r="A296" i="6" s="1"/>
  <c r="B372" i="2"/>
  <c r="E372" i="2"/>
  <c r="F372" i="2" s="1"/>
  <c r="A373" i="2" s="1"/>
  <c r="C372" i="2"/>
  <c r="D372" i="2" s="1"/>
  <c r="H372" i="2" s="1"/>
  <c r="G371" i="2"/>
  <c r="H371" i="2"/>
  <c r="I296" i="6" l="1"/>
  <c r="J296" i="6" s="1"/>
  <c r="E296" i="6"/>
  <c r="G296" i="6" s="1"/>
  <c r="B296" i="6"/>
  <c r="C296" i="6"/>
  <c r="K296" i="6" s="1"/>
  <c r="G372" i="2"/>
  <c r="E373" i="2"/>
  <c r="G373" i="2" s="1"/>
  <c r="C373" i="2"/>
  <c r="B373" i="2"/>
  <c r="F373" i="2" l="1"/>
  <c r="A374" i="2" s="1"/>
  <c r="D373" i="2"/>
  <c r="H373" i="2" s="1"/>
  <c r="L296" i="6"/>
  <c r="D296" i="6"/>
  <c r="H296" i="6" s="1"/>
  <c r="F296" i="6"/>
  <c r="A297" i="6" s="1"/>
  <c r="B374" i="2"/>
  <c r="E374" i="2"/>
  <c r="G374" i="2" s="1"/>
  <c r="C374" i="2"/>
  <c r="D374" i="2" l="1"/>
  <c r="H374" i="2" s="1"/>
  <c r="C297" i="6"/>
  <c r="E297" i="6"/>
  <c r="G297" i="6" s="1"/>
  <c r="B297" i="6"/>
  <c r="K297" i="6"/>
  <c r="I297" i="6"/>
  <c r="J297" i="6" s="1"/>
  <c r="L297" i="6" s="1"/>
  <c r="D297" i="6"/>
  <c r="H297" i="6" s="1"/>
  <c r="F374" i="2"/>
  <c r="A375" i="2" s="1"/>
  <c r="F297" i="6" l="1"/>
  <c r="A298" i="6" s="1"/>
  <c r="I298" i="6"/>
  <c r="J298" i="6" s="1"/>
  <c r="E298" i="6"/>
  <c r="G298" i="6" s="1"/>
  <c r="B298" i="6"/>
  <c r="C298" i="6"/>
  <c r="E375" i="2"/>
  <c r="G375" i="2" s="1"/>
  <c r="B375" i="2"/>
  <c r="C375" i="2"/>
  <c r="F298" i="6" l="1"/>
  <c r="A299" i="6" s="1"/>
  <c r="D298" i="6"/>
  <c r="H298" i="6" s="1"/>
  <c r="F375" i="2"/>
  <c r="A376" i="2" s="1"/>
  <c r="D375" i="2"/>
  <c r="B299" i="6"/>
  <c r="E299" i="6"/>
  <c r="G299" i="6" s="1"/>
  <c r="I299" i="6"/>
  <c r="J299" i="6" s="1"/>
  <c r="C299" i="6"/>
  <c r="K298" i="6"/>
  <c r="L298" i="6" s="1"/>
  <c r="H375" i="2"/>
  <c r="C376" i="2"/>
  <c r="E376" i="2"/>
  <c r="G376" i="2" s="1"/>
  <c r="B376" i="2"/>
  <c r="D299" i="6" l="1"/>
  <c r="H299" i="6" s="1"/>
  <c r="F376" i="2"/>
  <c r="A377" i="2" s="1"/>
  <c r="D376" i="2"/>
  <c r="H376" i="2" s="1"/>
  <c r="F299" i="6"/>
  <c r="A300" i="6" s="1"/>
  <c r="K299" i="6"/>
  <c r="L299" i="6" s="1"/>
  <c r="C377" i="2"/>
  <c r="B377" i="2"/>
  <c r="E377" i="2"/>
  <c r="G377" i="2" s="1"/>
  <c r="E300" i="6" l="1"/>
  <c r="G300" i="6" s="1"/>
  <c r="C300" i="6"/>
  <c r="K300" i="6"/>
  <c r="I300" i="6"/>
  <c r="J300" i="6" s="1"/>
  <c r="L300" i="6" s="1"/>
  <c r="B300" i="6"/>
  <c r="F300" i="6" s="1"/>
  <c r="A301" i="6" s="1"/>
  <c r="D300" i="6"/>
  <c r="H300" i="6" s="1"/>
  <c r="F377" i="2"/>
  <c r="A378" i="2" s="1"/>
  <c r="D377" i="2"/>
  <c r="H377" i="2" s="1"/>
  <c r="C301" i="6" l="1"/>
  <c r="K301" i="6" s="1"/>
  <c r="B301" i="6"/>
  <c r="I301" i="6"/>
  <c r="J301" i="6" s="1"/>
  <c r="L301" i="6" s="1"/>
  <c r="E301" i="6"/>
  <c r="G301" i="6" s="1"/>
  <c r="E378" i="2"/>
  <c r="G378" i="2" s="1"/>
  <c r="B378" i="2"/>
  <c r="C378" i="2"/>
  <c r="D378" i="2" s="1"/>
  <c r="D301" i="6" l="1"/>
  <c r="H301" i="6" s="1"/>
  <c r="F301" i="6"/>
  <c r="A302" i="6" s="1"/>
  <c r="H378" i="2"/>
  <c r="F378" i="2"/>
  <c r="A379" i="2" s="1"/>
  <c r="B302" i="6" l="1"/>
  <c r="E302" i="6"/>
  <c r="G302" i="6" s="1"/>
  <c r="C302" i="6"/>
  <c r="K302" i="6" s="1"/>
  <c r="I302" i="6"/>
  <c r="J302" i="6" s="1"/>
  <c r="C379" i="2"/>
  <c r="B379" i="2"/>
  <c r="E379" i="2"/>
  <c r="G379" i="2" s="1"/>
  <c r="L302" i="6" l="1"/>
  <c r="D302" i="6"/>
  <c r="H302" i="6" s="1"/>
  <c r="D379" i="2"/>
  <c r="F302" i="6"/>
  <c r="A303" i="6" s="1"/>
  <c r="H379" i="2"/>
  <c r="F379" i="2"/>
  <c r="A380" i="2" s="1"/>
  <c r="B303" i="6" l="1"/>
  <c r="C303" i="6"/>
  <c r="I303" i="6"/>
  <c r="J303" i="6" s="1"/>
  <c r="E303" i="6"/>
  <c r="G303" i="6" s="1"/>
  <c r="K303" i="6"/>
  <c r="C380" i="2"/>
  <c r="B380" i="2"/>
  <c r="E380" i="2"/>
  <c r="G380" i="2" s="1"/>
  <c r="L303" i="6" l="1"/>
  <c r="D303" i="6"/>
  <c r="H303" i="6" s="1"/>
  <c r="F303" i="6"/>
  <c r="A304" i="6" s="1"/>
  <c r="E304" i="6" s="1"/>
  <c r="G304" i="6" s="1"/>
  <c r="C304" i="6"/>
  <c r="K304" i="6" s="1"/>
  <c r="F380" i="2"/>
  <c r="A381" i="2" s="1"/>
  <c r="D380" i="2"/>
  <c r="H380" i="2" s="1"/>
  <c r="B304" i="6" l="1"/>
  <c r="F304" i="6"/>
  <c r="A305" i="6" s="1"/>
  <c r="I304" i="6"/>
  <c r="J304" i="6" s="1"/>
  <c r="L304" i="6" s="1"/>
  <c r="C305" i="6"/>
  <c r="K305" i="6" s="1"/>
  <c r="E305" i="6"/>
  <c r="G305" i="6" s="1"/>
  <c r="I305" i="6"/>
  <c r="J305" i="6" s="1"/>
  <c r="B305" i="6"/>
  <c r="D305" i="6"/>
  <c r="H305" i="6" s="1"/>
  <c r="D304" i="6"/>
  <c r="H304" i="6" s="1"/>
  <c r="C381" i="2"/>
  <c r="B381" i="2"/>
  <c r="E381" i="2"/>
  <c r="G381" i="2" s="1"/>
  <c r="F305" i="6" l="1"/>
  <c r="A306" i="6" s="1"/>
  <c r="L305" i="6"/>
  <c r="D381" i="2"/>
  <c r="H381" i="2" s="1"/>
  <c r="E306" i="6"/>
  <c r="G306" i="6" s="1"/>
  <c r="B306" i="6"/>
  <c r="C306" i="6"/>
  <c r="K306" i="6" s="1"/>
  <c r="I306" i="6"/>
  <c r="J306" i="6" s="1"/>
  <c r="L306" i="6" s="1"/>
  <c r="F306" i="6"/>
  <c r="A307" i="6" s="1"/>
  <c r="D306" i="6"/>
  <c r="H306" i="6" s="1"/>
  <c r="F381" i="2"/>
  <c r="A382" i="2" s="1"/>
  <c r="I307" i="6" l="1"/>
  <c r="J307" i="6" s="1"/>
  <c r="C307" i="6"/>
  <c r="K307" i="6" s="1"/>
  <c r="E307" i="6"/>
  <c r="G307" i="6" s="1"/>
  <c r="B307" i="6"/>
  <c r="B382" i="2"/>
  <c r="E382" i="2"/>
  <c r="G382" i="2" s="1"/>
  <c r="C382" i="2"/>
  <c r="D382" i="2" s="1"/>
  <c r="L307" i="6" l="1"/>
  <c r="D307" i="6"/>
  <c r="H307" i="6" s="1"/>
  <c r="F307" i="6"/>
  <c r="A308" i="6" s="1"/>
  <c r="F382" i="2"/>
  <c r="A383" i="2" s="1"/>
  <c r="H382" i="2"/>
  <c r="I308" i="6" l="1"/>
  <c r="J308" i="6" s="1"/>
  <c r="B308" i="6"/>
  <c r="C308" i="6"/>
  <c r="K308" i="6" s="1"/>
  <c r="L308" i="6" s="1"/>
  <c r="E308" i="6"/>
  <c r="G308" i="6" s="1"/>
  <c r="B383" i="2"/>
  <c r="E383" i="2"/>
  <c r="F383" i="2" s="1"/>
  <c r="A384" i="2" s="1"/>
  <c r="C383" i="2"/>
  <c r="D383" i="2" l="1"/>
  <c r="D308" i="6"/>
  <c r="H308" i="6" s="1"/>
  <c r="F308" i="6"/>
  <c r="A309" i="6" s="1"/>
  <c r="E384" i="2"/>
  <c r="C384" i="2"/>
  <c r="B384" i="2"/>
  <c r="H383" i="2"/>
  <c r="G383" i="2"/>
  <c r="F384" i="2" l="1"/>
  <c r="A385" i="2" s="1"/>
  <c r="D384" i="2"/>
  <c r="I309" i="6"/>
  <c r="J309" i="6" s="1"/>
  <c r="C309" i="6"/>
  <c r="K309" i="6" s="1"/>
  <c r="E309" i="6"/>
  <c r="G309" i="6" s="1"/>
  <c r="B309" i="6"/>
  <c r="E385" i="2"/>
  <c r="D385" i="2" s="1"/>
  <c r="C385" i="2"/>
  <c r="B385" i="2"/>
  <c r="H384" i="2"/>
  <c r="G384" i="2"/>
  <c r="D309" i="6" l="1"/>
  <c r="H309" i="6" s="1"/>
  <c r="F385" i="2"/>
  <c r="A386" i="2" s="1"/>
  <c r="L309" i="6"/>
  <c r="F309" i="6"/>
  <c r="A310" i="6" s="1"/>
  <c r="E386" i="2"/>
  <c r="F386" i="2" s="1"/>
  <c r="A387" i="2" s="1"/>
  <c r="C386" i="2"/>
  <c r="B386" i="2"/>
  <c r="H385" i="2"/>
  <c r="G385" i="2"/>
  <c r="D386" i="2" l="1"/>
  <c r="I310" i="6"/>
  <c r="J310" i="6" s="1"/>
  <c r="E310" i="6"/>
  <c r="G310" i="6" s="1"/>
  <c r="C310" i="6"/>
  <c r="K310" i="6" s="1"/>
  <c r="B310" i="6"/>
  <c r="H386" i="2"/>
  <c r="B387" i="2"/>
  <c r="C387" i="2"/>
  <c r="E387" i="2"/>
  <c r="F387" i="2" s="1"/>
  <c r="A388" i="2" s="1"/>
  <c r="G386" i="2"/>
  <c r="D387" i="2" l="1"/>
  <c r="L310" i="6"/>
  <c r="D310" i="6"/>
  <c r="H310" i="6" s="1"/>
  <c r="F310" i="6"/>
  <c r="A311" i="6" s="1"/>
  <c r="E388" i="2"/>
  <c r="C388" i="2"/>
  <c r="D388" i="2" s="1"/>
  <c r="B388" i="2"/>
  <c r="G387" i="2"/>
  <c r="G388" i="2" s="1"/>
  <c r="H387" i="2"/>
  <c r="C311" i="6" l="1"/>
  <c r="K311" i="6" s="1"/>
  <c r="B311" i="6"/>
  <c r="I311" i="6"/>
  <c r="J311" i="6" s="1"/>
  <c r="E311" i="6"/>
  <c r="G311" i="6" s="1"/>
  <c r="H388" i="2"/>
  <c r="F388" i="2"/>
  <c r="A389" i="2" s="1"/>
  <c r="F311" i="6" l="1"/>
  <c r="A312" i="6" s="1"/>
  <c r="L311" i="6"/>
  <c r="I312" i="6"/>
  <c r="J312" i="6" s="1"/>
  <c r="E312" i="6"/>
  <c r="G312" i="6" s="1"/>
  <c r="C312" i="6"/>
  <c r="K312" i="6" s="1"/>
  <c r="B312" i="6"/>
  <c r="F312" i="6" s="1"/>
  <c r="A313" i="6" s="1"/>
  <c r="D312" i="6"/>
  <c r="H312" i="6" s="1"/>
  <c r="D311" i="6"/>
  <c r="H311" i="6" s="1"/>
  <c r="C389" i="2"/>
  <c r="B389" i="2"/>
  <c r="E389" i="2"/>
  <c r="G389" i="2" s="1"/>
  <c r="L312" i="6" l="1"/>
  <c r="I313" i="6"/>
  <c r="J313" i="6" s="1"/>
  <c r="C313" i="6"/>
  <c r="B313" i="6"/>
  <c r="K313" i="6"/>
  <c r="E313" i="6"/>
  <c r="G313" i="6" s="1"/>
  <c r="F389" i="2"/>
  <c r="A390" i="2" s="1"/>
  <c r="D389" i="2"/>
  <c r="H389" i="2" s="1"/>
  <c r="L313" i="6" l="1"/>
  <c r="F313" i="6"/>
  <c r="A314" i="6" s="1"/>
  <c r="D313" i="6"/>
  <c r="H313" i="6" s="1"/>
  <c r="C390" i="2"/>
  <c r="B390" i="2"/>
  <c r="E390" i="2"/>
  <c r="G390" i="2" s="1"/>
  <c r="I314" i="6" l="1"/>
  <c r="J314" i="6" s="1"/>
  <c r="B314" i="6"/>
  <c r="C314" i="6"/>
  <c r="K314" i="6" s="1"/>
  <c r="E314" i="6"/>
  <c r="G314" i="6" s="1"/>
  <c r="F390" i="2"/>
  <c r="A391" i="2" s="1"/>
  <c r="D390" i="2"/>
  <c r="H390" i="2" s="1"/>
  <c r="L314" i="6" l="1"/>
  <c r="F314" i="6"/>
  <c r="A315" i="6" s="1"/>
  <c r="D314" i="6"/>
  <c r="H314" i="6" s="1"/>
  <c r="C391" i="2"/>
  <c r="B391" i="2"/>
  <c r="E391" i="2"/>
  <c r="F391" i="2" s="1"/>
  <c r="A392" i="2" s="1"/>
  <c r="E315" i="6" l="1"/>
  <c r="G315" i="6" s="1"/>
  <c r="I315" i="6"/>
  <c r="J315" i="6" s="1"/>
  <c r="B315" i="6"/>
  <c r="C315" i="6"/>
  <c r="D315" i="6" s="1"/>
  <c r="H315" i="6" s="1"/>
  <c r="F315" i="6"/>
  <c r="A316" i="6" s="1"/>
  <c r="B392" i="2"/>
  <c r="C392" i="2"/>
  <c r="E392" i="2"/>
  <c r="F392" i="2" s="1"/>
  <c r="A393" i="2" s="1"/>
  <c r="D391" i="2"/>
  <c r="H391" i="2" s="1"/>
  <c r="G391" i="2"/>
  <c r="D392" i="2" l="1"/>
  <c r="C316" i="6"/>
  <c r="E316" i="6"/>
  <c r="G316" i="6" s="1"/>
  <c r="I316" i="6"/>
  <c r="J316" i="6" s="1"/>
  <c r="B316" i="6"/>
  <c r="D316" i="6"/>
  <c r="H316" i="6" s="1"/>
  <c r="F316" i="6"/>
  <c r="A317" i="6" s="1"/>
  <c r="K315" i="6"/>
  <c r="L315" i="6" s="1"/>
  <c r="B393" i="2"/>
  <c r="E393" i="2"/>
  <c r="F393" i="2" s="1"/>
  <c r="A394" i="2" s="1"/>
  <c r="C393" i="2"/>
  <c r="D393" i="2" s="1"/>
  <c r="H392" i="2"/>
  <c r="G392" i="2"/>
  <c r="K316" i="6" l="1"/>
  <c r="L316" i="6" s="1"/>
  <c r="I317" i="6"/>
  <c r="J317" i="6" s="1"/>
  <c r="C317" i="6"/>
  <c r="E317" i="6"/>
  <c r="G317" i="6" s="1"/>
  <c r="B317" i="6"/>
  <c r="G393" i="2"/>
  <c r="C394" i="2"/>
  <c r="B394" i="2"/>
  <c r="E394" i="2"/>
  <c r="G394" i="2" s="1"/>
  <c r="H393" i="2"/>
  <c r="F394" i="2" l="1"/>
  <c r="A395" i="2" s="1"/>
  <c r="D317" i="6"/>
  <c r="H317" i="6" s="1"/>
  <c r="F317" i="6"/>
  <c r="A318" i="6" s="1"/>
  <c r="K317" i="6"/>
  <c r="L317" i="6" s="1"/>
  <c r="E395" i="2"/>
  <c r="G395" i="2" s="1"/>
  <c r="B395" i="2"/>
  <c r="C395" i="2"/>
  <c r="D395" i="2" s="1"/>
  <c r="D394" i="2"/>
  <c r="H394" i="2" s="1"/>
  <c r="H395" i="2" l="1"/>
  <c r="F395" i="2"/>
  <c r="A396" i="2" s="1"/>
  <c r="C396" i="2" s="1"/>
  <c r="E318" i="6"/>
  <c r="G318" i="6" s="1"/>
  <c r="B318" i="6"/>
  <c r="I318" i="6"/>
  <c r="J318" i="6" s="1"/>
  <c r="C318" i="6"/>
  <c r="K318" i="6" s="1"/>
  <c r="F318" i="6"/>
  <c r="A319" i="6" s="1"/>
  <c r="B396" i="2" l="1"/>
  <c r="E396" i="2"/>
  <c r="G396" i="2" s="1"/>
  <c r="D396" i="2"/>
  <c r="H396" i="2" s="1"/>
  <c r="F396" i="2"/>
  <c r="A397" i="2" s="1"/>
  <c r="B397" i="2" s="1"/>
  <c r="L318" i="6"/>
  <c r="D318" i="6"/>
  <c r="H318" i="6" s="1"/>
  <c r="B319" i="6"/>
  <c r="I319" i="6"/>
  <c r="J319" i="6" s="1"/>
  <c r="C319" i="6"/>
  <c r="E319" i="6"/>
  <c r="G319" i="6" s="1"/>
  <c r="F319" i="6" l="1"/>
  <c r="A320" i="6" s="1"/>
  <c r="C397" i="2"/>
  <c r="E397" i="2"/>
  <c r="G397" i="2" s="1"/>
  <c r="D397" i="2"/>
  <c r="F397" i="2"/>
  <c r="A398" i="2" s="1"/>
  <c r="I320" i="6"/>
  <c r="J320" i="6" s="1"/>
  <c r="C320" i="6"/>
  <c r="E320" i="6"/>
  <c r="G320" i="6" s="1"/>
  <c r="B320" i="6"/>
  <c r="D319" i="6"/>
  <c r="H319" i="6" s="1"/>
  <c r="K319" i="6"/>
  <c r="L319" i="6" s="1"/>
  <c r="C398" i="2"/>
  <c r="B398" i="2"/>
  <c r="E398" i="2"/>
  <c r="G398" i="2" s="1"/>
  <c r="H397" i="2"/>
  <c r="F398" i="2" l="1"/>
  <c r="A399" i="2" s="1"/>
  <c r="F320" i="6"/>
  <c r="A321" i="6" s="1"/>
  <c r="D320" i="6"/>
  <c r="H320" i="6" s="1"/>
  <c r="K320" i="6"/>
  <c r="L320" i="6" s="1"/>
  <c r="B399" i="2"/>
  <c r="C399" i="2"/>
  <c r="E399" i="2"/>
  <c r="G399" i="2" s="1"/>
  <c r="D398" i="2"/>
  <c r="H398" i="2" s="1"/>
  <c r="B321" i="6" l="1"/>
  <c r="E321" i="6"/>
  <c r="G321" i="6" s="1"/>
  <c r="C321" i="6"/>
  <c r="K321" i="6" s="1"/>
  <c r="I321" i="6"/>
  <c r="J321" i="6" s="1"/>
  <c r="L321" i="6" s="1"/>
  <c r="D399" i="2"/>
  <c r="H399" i="2" s="1"/>
  <c r="F399" i="2"/>
  <c r="A400" i="2" s="1"/>
  <c r="F321" i="6" l="1"/>
  <c r="A322" i="6" s="1"/>
  <c r="D321" i="6"/>
  <c r="H321" i="6" s="1"/>
  <c r="E400" i="2"/>
  <c r="G400" i="2" s="1"/>
  <c r="C400" i="2"/>
  <c r="D400" i="2" s="1"/>
  <c r="B400" i="2"/>
  <c r="E322" i="6" l="1"/>
  <c r="G322" i="6" s="1"/>
  <c r="B322" i="6"/>
  <c r="C322" i="6"/>
  <c r="K322" i="6" s="1"/>
  <c r="I322" i="6"/>
  <c r="J322" i="6" s="1"/>
  <c r="L322" i="6" s="1"/>
  <c r="H400" i="2"/>
  <c r="F400" i="2"/>
  <c r="A401" i="2" s="1"/>
  <c r="F322" i="6" l="1"/>
  <c r="A323" i="6" s="1"/>
  <c r="D322" i="6"/>
  <c r="H322" i="6" s="1"/>
  <c r="C323" i="6"/>
  <c r="K323" i="6" s="1"/>
  <c r="B323" i="6"/>
  <c r="E323" i="6"/>
  <c r="G323" i="6" s="1"/>
  <c r="I323" i="6"/>
  <c r="J323" i="6" s="1"/>
  <c r="B401" i="2"/>
  <c r="E401" i="2"/>
  <c r="G401" i="2" s="1"/>
  <c r="C401" i="2"/>
  <c r="D401" i="2" s="1"/>
  <c r="L323" i="6" l="1"/>
  <c r="F323" i="6"/>
  <c r="A324" i="6" s="1"/>
  <c r="D323" i="6"/>
  <c r="H323" i="6" s="1"/>
  <c r="F401" i="2"/>
  <c r="A402" i="2" s="1"/>
  <c r="H401" i="2"/>
  <c r="I324" i="6" l="1"/>
  <c r="J324" i="6" s="1"/>
  <c r="B324" i="6"/>
  <c r="C324" i="6"/>
  <c r="K324" i="6" s="1"/>
  <c r="E324" i="6"/>
  <c r="G324" i="6" s="1"/>
  <c r="B402" i="2"/>
  <c r="E402" i="2"/>
  <c r="F402" i="2" s="1"/>
  <c r="A403" i="2" s="1"/>
  <c r="C402" i="2"/>
  <c r="D402" i="2" s="1"/>
  <c r="H402" i="2" s="1"/>
  <c r="F324" i="6" l="1"/>
  <c r="A325" i="6" s="1"/>
  <c r="L324" i="6"/>
  <c r="C325" i="6"/>
  <c r="B325" i="6"/>
  <c r="I325" i="6"/>
  <c r="J325" i="6" s="1"/>
  <c r="E325" i="6"/>
  <c r="G325" i="6" s="1"/>
  <c r="D324" i="6"/>
  <c r="H324" i="6" s="1"/>
  <c r="E403" i="2"/>
  <c r="F403" i="2" s="1"/>
  <c r="A404" i="2" s="1"/>
  <c r="B403" i="2"/>
  <c r="C403" i="2"/>
  <c r="D403" i="2" s="1"/>
  <c r="H403" i="2" s="1"/>
  <c r="G402" i="2"/>
  <c r="D325" i="6" l="1"/>
  <c r="H325" i="6" s="1"/>
  <c r="F325" i="6"/>
  <c r="A326" i="6" s="1"/>
  <c r="K325" i="6"/>
  <c r="L325" i="6" s="1"/>
  <c r="B404" i="2"/>
  <c r="E404" i="2"/>
  <c r="C404" i="2"/>
  <c r="G403" i="2"/>
  <c r="I326" i="6" l="1"/>
  <c r="J326" i="6" s="1"/>
  <c r="C326" i="6"/>
  <c r="B326" i="6"/>
  <c r="E326" i="6"/>
  <c r="G326" i="6" s="1"/>
  <c r="G404" i="2"/>
  <c r="D404" i="2"/>
  <c r="F404" i="2"/>
  <c r="A405" i="2" s="1"/>
  <c r="H404" i="2"/>
  <c r="D326" i="6" l="1"/>
  <c r="H326" i="6" s="1"/>
  <c r="F326" i="6"/>
  <c r="A327" i="6" s="1"/>
  <c r="B327" i="6" s="1"/>
  <c r="I327" i="6"/>
  <c r="J327" i="6" s="1"/>
  <c r="E327" i="6"/>
  <c r="G327" i="6" s="1"/>
  <c r="C327" i="6"/>
  <c r="K326" i="6"/>
  <c r="L326" i="6" s="1"/>
  <c r="B405" i="2"/>
  <c r="E405" i="2"/>
  <c r="G405" i="2" s="1"/>
  <c r="C405" i="2"/>
  <c r="D405" i="2" s="1"/>
  <c r="D327" i="6" l="1"/>
  <c r="H327" i="6" s="1"/>
  <c r="K327" i="6"/>
  <c r="L327" i="6" s="1"/>
  <c r="F327" i="6"/>
  <c r="A328" i="6" s="1"/>
  <c r="F405" i="2"/>
  <c r="A406" i="2" s="1"/>
  <c r="H405" i="2"/>
  <c r="B328" i="6" l="1"/>
  <c r="I328" i="6"/>
  <c r="J328" i="6" s="1"/>
  <c r="C328" i="6"/>
  <c r="E328" i="6"/>
  <c r="G328" i="6" s="1"/>
  <c r="E406" i="2"/>
  <c r="F406" i="2" s="1"/>
  <c r="A407" i="2" s="1"/>
  <c r="B406" i="2"/>
  <c r="C406" i="2"/>
  <c r="D406" i="2" s="1"/>
  <c r="H406" i="2" l="1"/>
  <c r="G406" i="2"/>
  <c r="F328" i="6"/>
  <c r="A329" i="6" s="1"/>
  <c r="D328" i="6"/>
  <c r="H328" i="6" s="1"/>
  <c r="K328" i="6"/>
  <c r="L328" i="6" s="1"/>
  <c r="E407" i="2"/>
  <c r="F407" i="2" s="1"/>
  <c r="A408" i="2" s="1"/>
  <c r="B407" i="2"/>
  <c r="C407" i="2"/>
  <c r="G407" i="2"/>
  <c r="E329" i="6" l="1"/>
  <c r="G329" i="6" s="1"/>
  <c r="C329" i="6"/>
  <c r="I329" i="6"/>
  <c r="J329" i="6" s="1"/>
  <c r="K329" i="6"/>
  <c r="B329" i="6"/>
  <c r="F329" i="6" s="1"/>
  <c r="A330" i="6" s="1"/>
  <c r="D329" i="6"/>
  <c r="H329" i="6" s="1"/>
  <c r="C408" i="2"/>
  <c r="B408" i="2"/>
  <c r="E408" i="2"/>
  <c r="G408" i="2" s="1"/>
  <c r="D407" i="2"/>
  <c r="H407" i="2" s="1"/>
  <c r="L329" i="6" l="1"/>
  <c r="B330" i="6"/>
  <c r="C330" i="6"/>
  <c r="E330" i="6"/>
  <c r="G330" i="6" s="1"/>
  <c r="I330" i="6"/>
  <c r="J330" i="6" s="1"/>
  <c r="F408" i="2"/>
  <c r="A409" i="2" s="1"/>
  <c r="D408" i="2"/>
  <c r="H408" i="2" s="1"/>
  <c r="F330" i="6" l="1"/>
  <c r="A331" i="6" s="1"/>
  <c r="D330" i="6"/>
  <c r="H330" i="6" s="1"/>
  <c r="K330" i="6"/>
  <c r="L330" i="6" s="1"/>
  <c r="B409" i="2"/>
  <c r="E409" i="2"/>
  <c r="F409" i="2" s="1"/>
  <c r="A410" i="2" s="1"/>
  <c r="C409" i="2"/>
  <c r="D409" i="2" l="1"/>
  <c r="H409" i="2" s="1"/>
  <c r="E331" i="6"/>
  <c r="G331" i="6" s="1"/>
  <c r="B331" i="6"/>
  <c r="I331" i="6"/>
  <c r="J331" i="6" s="1"/>
  <c r="C331" i="6"/>
  <c r="K331" i="6" s="1"/>
  <c r="F331" i="6"/>
  <c r="A332" i="6" s="1"/>
  <c r="E410" i="2"/>
  <c r="C410" i="2"/>
  <c r="B410" i="2"/>
  <c r="G409" i="2"/>
  <c r="G410" i="2" s="1"/>
  <c r="F410" i="2" l="1"/>
  <c r="A411" i="2" s="1"/>
  <c r="D410" i="2"/>
  <c r="L331" i="6"/>
  <c r="C332" i="6"/>
  <c r="I332" i="6"/>
  <c r="J332" i="6" s="1"/>
  <c r="E332" i="6"/>
  <c r="G332" i="6" s="1"/>
  <c r="B332" i="6"/>
  <c r="K332" i="6"/>
  <c r="D331" i="6"/>
  <c r="H331" i="6" s="1"/>
  <c r="C411" i="2"/>
  <c r="E411" i="2"/>
  <c r="D411" i="2" s="1"/>
  <c r="B411" i="2"/>
  <c r="H410" i="2"/>
  <c r="L332" i="6" l="1"/>
  <c r="D332" i="6"/>
  <c r="H332" i="6" s="1"/>
  <c r="F332" i="6"/>
  <c r="A333" i="6" s="1"/>
  <c r="H411" i="2"/>
  <c r="G411" i="2"/>
  <c r="F411" i="2"/>
  <c r="A412" i="2" s="1"/>
  <c r="C333" i="6" l="1"/>
  <c r="E333" i="6"/>
  <c r="G333" i="6" s="1"/>
  <c r="B333" i="6"/>
  <c r="F333" i="6" s="1"/>
  <c r="A334" i="6" s="1"/>
  <c r="K333" i="6"/>
  <c r="I333" i="6"/>
  <c r="J333" i="6" s="1"/>
  <c r="L333" i="6" s="1"/>
  <c r="B412" i="2"/>
  <c r="C412" i="2"/>
  <c r="E412" i="2"/>
  <c r="G412" i="2" s="1"/>
  <c r="I334" i="6" l="1"/>
  <c r="J334" i="6" s="1"/>
  <c r="C334" i="6"/>
  <c r="B334" i="6"/>
  <c r="E334" i="6"/>
  <c r="G334" i="6" s="1"/>
  <c r="D333" i="6"/>
  <c r="H333" i="6" s="1"/>
  <c r="D412" i="2"/>
  <c r="H412" i="2" s="1"/>
  <c r="F412" i="2"/>
  <c r="A413" i="2" s="1"/>
  <c r="F334" i="6" l="1"/>
  <c r="A335" i="6" s="1"/>
  <c r="D334" i="6"/>
  <c r="H334" i="6" s="1"/>
  <c r="I335" i="6"/>
  <c r="J335" i="6" s="1"/>
  <c r="B335" i="6"/>
  <c r="C335" i="6"/>
  <c r="D335" i="6" s="1"/>
  <c r="H335" i="6" s="1"/>
  <c r="E335" i="6"/>
  <c r="G335" i="6" s="1"/>
  <c r="K334" i="6"/>
  <c r="C413" i="2"/>
  <c r="E413" i="2"/>
  <c r="G413" i="2" s="1"/>
  <c r="B413" i="2"/>
  <c r="K335" i="6" l="1"/>
  <c r="F413" i="2"/>
  <c r="A414" i="2" s="1"/>
  <c r="L335" i="6"/>
  <c r="L334" i="6"/>
  <c r="F335" i="6"/>
  <c r="A336" i="6" s="1"/>
  <c r="C414" i="2"/>
  <c r="B414" i="2"/>
  <c r="E414" i="2"/>
  <c r="G414" i="2" s="1"/>
  <c r="D413" i="2"/>
  <c r="H413" i="2" s="1"/>
  <c r="B336" i="6" l="1"/>
  <c r="C336" i="6"/>
  <c r="K336" i="6" s="1"/>
  <c r="E336" i="6"/>
  <c r="G336" i="6" s="1"/>
  <c r="I336" i="6"/>
  <c r="J336" i="6" s="1"/>
  <c r="D414" i="2"/>
  <c r="H414" i="2" s="1"/>
  <c r="F414" i="2"/>
  <c r="A415" i="2" s="1"/>
  <c r="L336" i="6" l="1"/>
  <c r="F336" i="6"/>
  <c r="A337" i="6" s="1"/>
  <c r="D336" i="6"/>
  <c r="H336" i="6" s="1"/>
  <c r="E415" i="2"/>
  <c r="G415" i="2" s="1"/>
  <c r="B415" i="2"/>
  <c r="C415" i="2"/>
  <c r="D415" i="2" s="1"/>
  <c r="H415" i="2" s="1"/>
  <c r="F415" i="2" l="1"/>
  <c r="A416" i="2" s="1"/>
  <c r="I337" i="6"/>
  <c r="J337" i="6" s="1"/>
  <c r="C337" i="6"/>
  <c r="E337" i="6"/>
  <c r="G337" i="6" s="1"/>
  <c r="B337" i="6"/>
  <c r="E416" i="2"/>
  <c r="G416" i="2" s="1"/>
  <c r="C416" i="2"/>
  <c r="D416" i="2" s="1"/>
  <c r="B416" i="2"/>
  <c r="F337" i="6" l="1"/>
  <c r="A338" i="6" s="1"/>
  <c r="H416" i="2"/>
  <c r="B338" i="6"/>
  <c r="C338" i="6"/>
  <c r="E338" i="6"/>
  <c r="G338" i="6" s="1"/>
  <c r="I338" i="6"/>
  <c r="J338" i="6" s="1"/>
  <c r="D337" i="6"/>
  <c r="H337" i="6" s="1"/>
  <c r="K337" i="6"/>
  <c r="L337" i="6" s="1"/>
  <c r="F416" i="2"/>
  <c r="A417" i="2" s="1"/>
  <c r="D338" i="6" l="1"/>
  <c r="H338" i="6" s="1"/>
  <c r="K338" i="6"/>
  <c r="L338" i="6" s="1"/>
  <c r="F338" i="6"/>
  <c r="A339" i="6" s="1"/>
  <c r="B417" i="2"/>
  <c r="C417" i="2"/>
  <c r="E417" i="2"/>
  <c r="F417" i="2" s="1"/>
  <c r="A418" i="2" s="1"/>
  <c r="B339" i="6" l="1"/>
  <c r="E339" i="6"/>
  <c r="G339" i="6" s="1"/>
  <c r="I339" i="6"/>
  <c r="J339" i="6" s="1"/>
  <c r="C339" i="6"/>
  <c r="D339" i="6" s="1"/>
  <c r="H339" i="6" s="1"/>
  <c r="F339" i="6"/>
  <c r="A340" i="6" s="1"/>
  <c r="D417" i="2"/>
  <c r="H417" i="2" s="1"/>
  <c r="E418" i="2"/>
  <c r="F418" i="2" s="1"/>
  <c r="A419" i="2" s="1"/>
  <c r="B418" i="2"/>
  <c r="C418" i="2"/>
  <c r="D418" i="2" s="1"/>
  <c r="G417" i="2"/>
  <c r="K339" i="6" l="1"/>
  <c r="G418" i="2"/>
  <c r="L339" i="6"/>
  <c r="E340" i="6"/>
  <c r="G340" i="6" s="1"/>
  <c r="B340" i="6"/>
  <c r="C340" i="6"/>
  <c r="I340" i="6"/>
  <c r="J340" i="6" s="1"/>
  <c r="C419" i="2"/>
  <c r="B419" i="2"/>
  <c r="E419" i="2"/>
  <c r="G419" i="2" s="1"/>
  <c r="H418" i="2"/>
  <c r="F340" i="6" l="1"/>
  <c r="A341" i="6" s="1"/>
  <c r="D340" i="6"/>
  <c r="H340" i="6" s="1"/>
  <c r="C341" i="6"/>
  <c r="B341" i="6"/>
  <c r="E341" i="6"/>
  <c r="G341" i="6" s="1"/>
  <c r="I341" i="6"/>
  <c r="J341" i="6" s="1"/>
  <c r="K340" i="6"/>
  <c r="L340" i="6" s="1"/>
  <c r="F419" i="2"/>
  <c r="A420" i="2" s="1"/>
  <c r="D419" i="2"/>
  <c r="H419" i="2" s="1"/>
  <c r="K341" i="6" l="1"/>
  <c r="L341" i="6" s="1"/>
  <c r="D341" i="6"/>
  <c r="H341" i="6" s="1"/>
  <c r="F341" i="6"/>
  <c r="A342" i="6" s="1"/>
  <c r="E420" i="2"/>
  <c r="G420" i="2" s="1"/>
  <c r="B420" i="2"/>
  <c r="C420" i="2"/>
  <c r="D420" i="2" s="1"/>
  <c r="I342" i="6" l="1"/>
  <c r="J342" i="6" s="1"/>
  <c r="C342" i="6"/>
  <c r="E342" i="6"/>
  <c r="G342" i="6" s="1"/>
  <c r="K342" i="6"/>
  <c r="B342" i="6"/>
  <c r="H420" i="2"/>
  <c r="F420" i="2"/>
  <c r="A421" i="2" s="1"/>
  <c r="L342" i="6" l="1"/>
  <c r="D342" i="6"/>
  <c r="H342" i="6" s="1"/>
  <c r="F342" i="6"/>
  <c r="A343" i="6" s="1"/>
  <c r="B421" i="2"/>
  <c r="E421" i="2"/>
  <c r="G421" i="2" s="1"/>
  <c r="C421" i="2"/>
  <c r="D421" i="2" l="1"/>
  <c r="H421" i="2" s="1"/>
  <c r="E343" i="6"/>
  <c r="G343" i="6" s="1"/>
  <c r="B343" i="6"/>
  <c r="I343" i="6"/>
  <c r="J343" i="6" s="1"/>
  <c r="C343" i="6"/>
  <c r="D343" i="6" s="1"/>
  <c r="H343" i="6" s="1"/>
  <c r="F343" i="6"/>
  <c r="A344" i="6" s="1"/>
  <c r="F421" i="2"/>
  <c r="A422" i="2" s="1"/>
  <c r="B344" i="6" l="1"/>
  <c r="E344" i="6"/>
  <c r="G344" i="6" s="1"/>
  <c r="C344" i="6"/>
  <c r="I344" i="6"/>
  <c r="J344" i="6" s="1"/>
  <c r="K343" i="6"/>
  <c r="L343" i="6" s="1"/>
  <c r="C422" i="2"/>
  <c r="B422" i="2"/>
  <c r="E422" i="2"/>
  <c r="G422" i="2" s="1"/>
  <c r="K344" i="6" l="1"/>
  <c r="L344" i="6" s="1"/>
  <c r="F344" i="6"/>
  <c r="A345" i="6" s="1"/>
  <c r="D344" i="6"/>
  <c r="H344" i="6" s="1"/>
  <c r="D422" i="2"/>
  <c r="H422" i="2" s="1"/>
  <c r="F422" i="2"/>
  <c r="A423" i="2" s="1"/>
  <c r="C345" i="6" l="1"/>
  <c r="B345" i="6"/>
  <c r="K345" i="6"/>
  <c r="I345" i="6"/>
  <c r="J345" i="6" s="1"/>
  <c r="E345" i="6"/>
  <c r="G345" i="6" s="1"/>
  <c r="B423" i="2"/>
  <c r="E423" i="2"/>
  <c r="F423" i="2" s="1"/>
  <c r="A424" i="2" s="1"/>
  <c r="C423" i="2"/>
  <c r="D423" i="2" s="1"/>
  <c r="H423" i="2" s="1"/>
  <c r="L345" i="6" l="1"/>
  <c r="D345" i="6"/>
  <c r="H345" i="6" s="1"/>
  <c r="F345" i="6"/>
  <c r="A346" i="6" s="1"/>
  <c r="E424" i="2"/>
  <c r="C424" i="2"/>
  <c r="D424" i="2" s="1"/>
  <c r="B424" i="2"/>
  <c r="G423" i="2"/>
  <c r="G424" i="2" s="1"/>
  <c r="I346" i="6" l="1"/>
  <c r="J346" i="6" s="1"/>
  <c r="B346" i="6"/>
  <c r="C346" i="6"/>
  <c r="K346" i="6" s="1"/>
  <c r="E346" i="6"/>
  <c r="G346" i="6" s="1"/>
  <c r="H424" i="2"/>
  <c r="F424" i="2"/>
  <c r="A425" i="2" s="1"/>
  <c r="L346" i="6" l="1"/>
  <c r="D346" i="6"/>
  <c r="H346" i="6" s="1"/>
  <c r="F346" i="6"/>
  <c r="A347" i="6" s="1"/>
  <c r="B425" i="2"/>
  <c r="E425" i="2"/>
  <c r="F425" i="2" s="1"/>
  <c r="A426" i="2" s="1"/>
  <c r="C425" i="2"/>
  <c r="D425" i="2" s="1"/>
  <c r="H425" i="2" s="1"/>
  <c r="I347" i="6" l="1"/>
  <c r="J347" i="6" s="1"/>
  <c r="E347" i="6"/>
  <c r="G347" i="6" s="1"/>
  <c r="B347" i="6"/>
  <c r="C347" i="6"/>
  <c r="K347" i="6" s="1"/>
  <c r="G425" i="2"/>
  <c r="C426" i="2"/>
  <c r="B426" i="2"/>
  <c r="E426" i="2"/>
  <c r="G426" i="2" s="1"/>
  <c r="D426" i="2" l="1"/>
  <c r="L347" i="6"/>
  <c r="D347" i="6"/>
  <c r="H347" i="6" s="1"/>
  <c r="F347" i="6"/>
  <c r="A348" i="6" s="1"/>
  <c r="F426" i="2"/>
  <c r="A427" i="2" s="1"/>
  <c r="H426" i="2"/>
  <c r="C348" i="6" l="1"/>
  <c r="E348" i="6"/>
  <c r="G348" i="6" s="1"/>
  <c r="K348" i="6"/>
  <c r="B348" i="6"/>
  <c r="F348" i="6" s="1"/>
  <c r="A349" i="6" s="1"/>
  <c r="I348" i="6"/>
  <c r="J348" i="6" s="1"/>
  <c r="D348" i="6"/>
  <c r="H348" i="6" s="1"/>
  <c r="E427" i="2"/>
  <c r="G427" i="2" s="1"/>
  <c r="C427" i="2"/>
  <c r="D427" i="2" s="1"/>
  <c r="B427" i="2"/>
  <c r="L348" i="6" l="1"/>
  <c r="B349" i="6"/>
  <c r="C349" i="6"/>
  <c r="K349" i="6" s="1"/>
  <c r="E349" i="6"/>
  <c r="G349" i="6" s="1"/>
  <c r="I349" i="6"/>
  <c r="J349" i="6" s="1"/>
  <c r="L349" i="6" s="1"/>
  <c r="H427" i="2"/>
  <c r="F427" i="2"/>
  <c r="A428" i="2" s="1"/>
  <c r="D349" i="6" l="1"/>
  <c r="H349" i="6" s="1"/>
  <c r="F349" i="6"/>
  <c r="A350" i="6" s="1"/>
  <c r="C428" i="2"/>
  <c r="B428" i="2"/>
  <c r="E428" i="2"/>
  <c r="D428" i="2" s="1"/>
  <c r="H428" i="2" s="1"/>
  <c r="E350" i="6" l="1"/>
  <c r="G350" i="6" s="1"/>
  <c r="B350" i="6"/>
  <c r="C350" i="6"/>
  <c r="D350" i="6" s="1"/>
  <c r="H350" i="6" s="1"/>
  <c r="I350" i="6"/>
  <c r="J350" i="6" s="1"/>
  <c r="F428" i="2"/>
  <c r="A429" i="2" s="1"/>
  <c r="G428" i="2"/>
  <c r="F350" i="6" l="1"/>
  <c r="A351" i="6" s="1"/>
  <c r="B351" i="6"/>
  <c r="E351" i="6"/>
  <c r="G351" i="6" s="1"/>
  <c r="I351" i="6"/>
  <c r="J351" i="6" s="1"/>
  <c r="C351" i="6"/>
  <c r="D351" i="6" s="1"/>
  <c r="H351" i="6" s="1"/>
  <c r="K350" i="6"/>
  <c r="L350" i="6" s="1"/>
  <c r="B429" i="2"/>
  <c r="E429" i="2"/>
  <c r="G429" i="2" s="1"/>
  <c r="C429" i="2"/>
  <c r="F351" i="6" l="1"/>
  <c r="A352" i="6" s="1"/>
  <c r="D429" i="2"/>
  <c r="H429" i="2" s="1"/>
  <c r="I352" i="6"/>
  <c r="J352" i="6" s="1"/>
  <c r="B352" i="6"/>
  <c r="E352" i="6"/>
  <c r="G352" i="6" s="1"/>
  <c r="C352" i="6"/>
  <c r="K351" i="6"/>
  <c r="L351" i="6" s="1"/>
  <c r="F429" i="2"/>
  <c r="A430" i="2" s="1"/>
  <c r="D352" i="6" l="1"/>
  <c r="H352" i="6" s="1"/>
  <c r="F352" i="6"/>
  <c r="A353" i="6" s="1"/>
  <c r="K352" i="6"/>
  <c r="L352" i="6" s="1"/>
  <c r="C430" i="2"/>
  <c r="B430" i="2"/>
  <c r="E430" i="2"/>
  <c r="G430" i="2" s="1"/>
  <c r="E353" i="6" l="1"/>
  <c r="G353" i="6" s="1"/>
  <c r="I353" i="6"/>
  <c r="J353" i="6" s="1"/>
  <c r="C353" i="6"/>
  <c r="K353" i="6" s="1"/>
  <c r="B353" i="6"/>
  <c r="F353" i="6" s="1"/>
  <c r="A354" i="6" s="1"/>
  <c r="F430" i="2"/>
  <c r="A431" i="2" s="1"/>
  <c r="D430" i="2"/>
  <c r="H430" i="2" s="1"/>
  <c r="L353" i="6" l="1"/>
  <c r="I354" i="6"/>
  <c r="J354" i="6" s="1"/>
  <c r="B354" i="6"/>
  <c r="E354" i="6"/>
  <c r="G354" i="6" s="1"/>
  <c r="C354" i="6"/>
  <c r="D354" i="6" s="1"/>
  <c r="H354" i="6" s="1"/>
  <c r="D353" i="6"/>
  <c r="H353" i="6" s="1"/>
  <c r="E431" i="2"/>
  <c r="G431" i="2" s="1"/>
  <c r="B431" i="2"/>
  <c r="C431" i="2"/>
  <c r="D431" i="2" s="1"/>
  <c r="F354" i="6" l="1"/>
  <c r="A355" i="6" s="1"/>
  <c r="K354" i="6"/>
  <c r="L354" i="6" s="1"/>
  <c r="F431" i="2"/>
  <c r="A432" i="2" s="1"/>
  <c r="H431" i="2"/>
  <c r="I355" i="6" l="1"/>
  <c r="J355" i="6" s="1"/>
  <c r="B355" i="6"/>
  <c r="E355" i="6"/>
  <c r="G355" i="6" s="1"/>
  <c r="C355" i="6"/>
  <c r="K355" i="6" s="1"/>
  <c r="C432" i="2"/>
  <c r="E432" i="2"/>
  <c r="D432" i="2" s="1"/>
  <c r="B432" i="2"/>
  <c r="L355" i="6" l="1"/>
  <c r="F355" i="6"/>
  <c r="A356" i="6" s="1"/>
  <c r="D355" i="6"/>
  <c r="H355" i="6" s="1"/>
  <c r="F432" i="2"/>
  <c r="A433" i="2" s="1"/>
  <c r="H432" i="2"/>
  <c r="G432" i="2"/>
  <c r="B356" i="6" l="1"/>
  <c r="I356" i="6"/>
  <c r="J356" i="6" s="1"/>
  <c r="E356" i="6"/>
  <c r="G356" i="6" s="1"/>
  <c r="C356" i="6"/>
  <c r="K356" i="6" s="1"/>
  <c r="E433" i="2"/>
  <c r="G433" i="2" s="1"/>
  <c r="C433" i="2"/>
  <c r="D433" i="2" s="1"/>
  <c r="B433" i="2"/>
  <c r="L356" i="6" l="1"/>
  <c r="D356" i="6"/>
  <c r="H356" i="6" s="1"/>
  <c r="F356" i="6"/>
  <c r="A357" i="6" s="1"/>
  <c r="H433" i="2"/>
  <c r="F433" i="2"/>
  <c r="A434" i="2" s="1"/>
  <c r="C357" i="6" l="1"/>
  <c r="E357" i="6"/>
  <c r="G357" i="6" s="1"/>
  <c r="K357" i="6"/>
  <c r="I357" i="6"/>
  <c r="J357" i="6" s="1"/>
  <c r="L357" i="6" s="1"/>
  <c r="B357" i="6"/>
  <c r="F357" i="6" s="1"/>
  <c r="A358" i="6" s="1"/>
  <c r="B434" i="2"/>
  <c r="C434" i="2"/>
  <c r="E434" i="2"/>
  <c r="G434" i="2" s="1"/>
  <c r="D434" i="2" l="1"/>
  <c r="C358" i="6"/>
  <c r="K358" i="6" s="1"/>
  <c r="I358" i="6"/>
  <c r="J358" i="6" s="1"/>
  <c r="L358" i="6" s="1"/>
  <c r="E358" i="6"/>
  <c r="G358" i="6" s="1"/>
  <c r="B358" i="6"/>
  <c r="D358" i="6"/>
  <c r="H358" i="6" s="1"/>
  <c r="D357" i="6"/>
  <c r="H357" i="6" s="1"/>
  <c r="F434" i="2"/>
  <c r="A435" i="2" s="1"/>
  <c r="H434" i="2"/>
  <c r="F358" i="6" l="1"/>
  <c r="A359" i="6" s="1"/>
  <c r="I359" i="6"/>
  <c r="J359" i="6" s="1"/>
  <c r="B359" i="6"/>
  <c r="C359" i="6"/>
  <c r="K359" i="6" s="1"/>
  <c r="E359" i="6"/>
  <c r="G359" i="6" s="1"/>
  <c r="C435" i="2"/>
  <c r="B435" i="2"/>
  <c r="E435" i="2"/>
  <c r="G435" i="2" s="1"/>
  <c r="L359" i="6" l="1"/>
  <c r="D359" i="6"/>
  <c r="H359" i="6" s="1"/>
  <c r="F359" i="6"/>
  <c r="A360" i="6" s="1"/>
  <c r="F435" i="2"/>
  <c r="A436" i="2" s="1"/>
  <c r="D435" i="2"/>
  <c r="H435" i="2" s="1"/>
  <c r="I360" i="6" l="1"/>
  <c r="J360" i="6" s="1"/>
  <c r="B360" i="6"/>
  <c r="E360" i="6"/>
  <c r="G360" i="6" s="1"/>
  <c r="C360" i="6"/>
  <c r="E436" i="2"/>
  <c r="G436" i="2" s="1"/>
  <c r="C436" i="2"/>
  <c r="B436" i="2"/>
  <c r="D360" i="6" l="1"/>
  <c r="H360" i="6" s="1"/>
  <c r="F436" i="2"/>
  <c r="A437" i="2" s="1"/>
  <c r="D436" i="2"/>
  <c r="F360" i="6"/>
  <c r="A361" i="6" s="1"/>
  <c r="K360" i="6"/>
  <c r="L360" i="6" s="1"/>
  <c r="B437" i="2"/>
  <c r="C437" i="2"/>
  <c r="E437" i="2"/>
  <c r="G437" i="2" s="1"/>
  <c r="H436" i="2"/>
  <c r="C361" i="6" l="1"/>
  <c r="E361" i="6"/>
  <c r="G361" i="6" s="1"/>
  <c r="B361" i="6"/>
  <c r="K361" i="6"/>
  <c r="I361" i="6"/>
  <c r="J361" i="6" s="1"/>
  <c r="D437" i="2"/>
  <c r="H437" i="2" s="1"/>
  <c r="F437" i="2"/>
  <c r="A438" i="2" s="1"/>
  <c r="L361" i="6" l="1"/>
  <c r="F361" i="6"/>
  <c r="A362" i="6" s="1"/>
  <c r="D361" i="6"/>
  <c r="H361" i="6" s="1"/>
  <c r="E438" i="2"/>
  <c r="G438" i="2" s="1"/>
  <c r="C438" i="2"/>
  <c r="D438" i="2" s="1"/>
  <c r="B438" i="2"/>
  <c r="E362" i="6" l="1"/>
  <c r="G362" i="6" s="1"/>
  <c r="B362" i="6"/>
  <c r="C362" i="6"/>
  <c r="D362" i="6" s="1"/>
  <c r="H362" i="6" s="1"/>
  <c r="I362" i="6"/>
  <c r="J362" i="6" s="1"/>
  <c r="F438" i="2"/>
  <c r="A439" i="2" s="1"/>
  <c r="H438" i="2"/>
  <c r="K362" i="6" l="1"/>
  <c r="L362" i="6" s="1"/>
  <c r="F362" i="6"/>
  <c r="A363" i="6" s="1"/>
  <c r="C439" i="2"/>
  <c r="B439" i="2"/>
  <c r="E439" i="2"/>
  <c r="G439" i="2" s="1"/>
  <c r="F439" i="2" l="1"/>
  <c r="A440" i="2" s="1"/>
  <c r="D439" i="2"/>
  <c r="B363" i="6"/>
  <c r="C363" i="6"/>
  <c r="I363" i="6"/>
  <c r="J363" i="6" s="1"/>
  <c r="E363" i="6"/>
  <c r="G363" i="6" s="1"/>
  <c r="E440" i="2"/>
  <c r="F440" i="2" s="1"/>
  <c r="A441" i="2" s="1"/>
  <c r="C440" i="2"/>
  <c r="B440" i="2"/>
  <c r="H439" i="2"/>
  <c r="D363" i="6" l="1"/>
  <c r="H363" i="6" s="1"/>
  <c r="G440" i="2"/>
  <c r="D440" i="2"/>
  <c r="K363" i="6"/>
  <c r="L363" i="6" s="1"/>
  <c r="F363" i="6"/>
  <c r="A364" i="6" s="1"/>
  <c r="E441" i="2"/>
  <c r="F441" i="2" s="1"/>
  <c r="A442" i="2" s="1"/>
  <c r="B441" i="2"/>
  <c r="C441" i="2"/>
  <c r="D441" i="2" s="1"/>
  <c r="H441" i="2" s="1"/>
  <c r="G441" i="2"/>
  <c r="H440" i="2"/>
  <c r="I364" i="6" l="1"/>
  <c r="J364" i="6" s="1"/>
  <c r="B364" i="6"/>
  <c r="C364" i="6"/>
  <c r="K364" i="6" s="1"/>
  <c r="E364" i="6"/>
  <c r="G364" i="6" s="1"/>
  <c r="C442" i="2"/>
  <c r="E442" i="2"/>
  <c r="G442" i="2" s="1"/>
  <c r="B442" i="2"/>
  <c r="L364" i="6" l="1"/>
  <c r="D364" i="6"/>
  <c r="H364" i="6" s="1"/>
  <c r="F364" i="6"/>
  <c r="A365" i="6" s="1"/>
  <c r="F442" i="2"/>
  <c r="A443" i="2" s="1"/>
  <c r="D442" i="2"/>
  <c r="H442" i="2" s="1"/>
  <c r="I365" i="6" l="1"/>
  <c r="J365" i="6" s="1"/>
  <c r="B365" i="6"/>
  <c r="E365" i="6"/>
  <c r="G365" i="6" s="1"/>
  <c r="C365" i="6"/>
  <c r="K365" i="6" s="1"/>
  <c r="B443" i="2"/>
  <c r="C443" i="2"/>
  <c r="D443" i="2" s="1"/>
  <c r="E443" i="2"/>
  <c r="G443" i="2" s="1"/>
  <c r="L365" i="6" l="1"/>
  <c r="F365" i="6"/>
  <c r="A366" i="6" s="1"/>
  <c r="K366" i="6" s="1"/>
  <c r="C366" i="6"/>
  <c r="D365" i="6"/>
  <c r="H365" i="6" s="1"/>
  <c r="F443" i="2"/>
  <c r="A444" i="2" s="1"/>
  <c r="H443" i="2"/>
  <c r="D366" i="6" l="1"/>
  <c r="H366" i="6" s="1"/>
  <c r="L366" i="6"/>
  <c r="I366" i="6"/>
  <c r="J366" i="6" s="1"/>
  <c r="B366" i="6"/>
  <c r="F366" i="6"/>
  <c r="A367" i="6" s="1"/>
  <c r="K367" i="6" s="1"/>
  <c r="E366" i="6"/>
  <c r="G366" i="6" s="1"/>
  <c r="E367" i="6"/>
  <c r="G367" i="6" s="1"/>
  <c r="C444" i="2"/>
  <c r="E444" i="2"/>
  <c r="F444" i="2" s="1"/>
  <c r="A445" i="2" s="1"/>
  <c r="B444" i="2"/>
  <c r="C367" i="6" l="1"/>
  <c r="F367" i="6"/>
  <c r="A368" i="6" s="1"/>
  <c r="B367" i="6"/>
  <c r="L367" i="6"/>
  <c r="I367" i="6"/>
  <c r="J367" i="6" s="1"/>
  <c r="D367" i="6"/>
  <c r="H367" i="6" s="1"/>
  <c r="D444" i="2"/>
  <c r="H444" i="2" s="1"/>
  <c r="G444" i="2"/>
  <c r="L368" i="6"/>
  <c r="I368" i="6"/>
  <c r="J368" i="6" s="1"/>
  <c r="E368" i="6"/>
  <c r="G368" i="6" s="1"/>
  <c r="B368" i="6"/>
  <c r="K368" i="6"/>
  <c r="F368" i="6"/>
  <c r="A369" i="6" s="1"/>
  <c r="C368" i="6"/>
  <c r="D368" i="6"/>
  <c r="H368" i="6" s="1"/>
  <c r="C445" i="2"/>
  <c r="B445" i="2"/>
  <c r="E445" i="2"/>
  <c r="F445" i="2" s="1"/>
  <c r="A446" i="2" s="1"/>
  <c r="C369" i="6" l="1"/>
  <c r="B369" i="6"/>
  <c r="K369" i="6"/>
  <c r="I369" i="6"/>
  <c r="J369" i="6" s="1"/>
  <c r="E369" i="6"/>
  <c r="G369" i="6" s="1"/>
  <c r="F369" i="6"/>
  <c r="A370" i="6" s="1"/>
  <c r="L369" i="6"/>
  <c r="D369" i="6"/>
  <c r="H369" i="6" s="1"/>
  <c r="F446" i="2"/>
  <c r="A447" i="2" s="1"/>
  <c r="D446" i="2"/>
  <c r="G446" i="2"/>
  <c r="B446" i="2"/>
  <c r="H446" i="2" s="1"/>
  <c r="E446" i="2"/>
  <c r="C446" i="2"/>
  <c r="G445" i="2"/>
  <c r="D445" i="2"/>
  <c r="H445" i="2" s="1"/>
  <c r="K370" i="6" l="1"/>
  <c r="L370" i="6"/>
  <c r="F370" i="6"/>
  <c r="A371" i="6" s="1"/>
  <c r="C370" i="6"/>
  <c r="I370" i="6"/>
  <c r="J370" i="6" s="1"/>
  <c r="E370" i="6"/>
  <c r="G370" i="6" s="1"/>
  <c r="D370" i="6"/>
  <c r="H370" i="6" s="1"/>
  <c r="B370" i="6"/>
  <c r="B447" i="2"/>
  <c r="H447" i="2" s="1"/>
  <c r="F447" i="2"/>
  <c r="A448" i="2" s="1"/>
  <c r="C447" i="2"/>
  <c r="G447" i="2"/>
  <c r="E447" i="2"/>
  <c r="D447" i="2"/>
  <c r="I371" i="6" l="1"/>
  <c r="J371" i="6" s="1"/>
  <c r="B371" i="6"/>
  <c r="E371" i="6"/>
  <c r="G371" i="6" s="1"/>
  <c r="F371" i="6"/>
  <c r="A372" i="6" s="1"/>
  <c r="L371" i="6"/>
  <c r="K371" i="6"/>
  <c r="D371" i="6"/>
  <c r="H371" i="6" s="1"/>
  <c r="C371" i="6"/>
  <c r="B448" i="2"/>
  <c r="H448" i="2" s="1"/>
  <c r="G448" i="2"/>
  <c r="E448" i="2"/>
  <c r="D448" i="2"/>
  <c r="C448" i="2"/>
  <c r="F448" i="2"/>
  <c r="A449" i="2" s="1"/>
  <c r="C372" i="6" l="1"/>
  <c r="E372" i="6"/>
  <c r="G372" i="6" s="1"/>
  <c r="I372" i="6"/>
  <c r="J372" i="6" s="1"/>
  <c r="B372" i="6"/>
  <c r="F372" i="6"/>
  <c r="A373" i="6" s="1"/>
  <c r="K372" i="6"/>
  <c r="L372" i="6"/>
  <c r="D372" i="6"/>
  <c r="H372" i="6" s="1"/>
  <c r="G449" i="2"/>
  <c r="F449" i="2"/>
  <c r="A450" i="2" s="1"/>
  <c r="D449" i="2"/>
  <c r="E449" i="2"/>
  <c r="B449" i="2"/>
  <c r="H449" i="2" s="1"/>
  <c r="C449" i="2"/>
  <c r="F373" i="6" l="1"/>
  <c r="A374" i="6" s="1"/>
  <c r="E373" i="6"/>
  <c r="G373" i="6" s="1"/>
  <c r="C373" i="6"/>
  <c r="I373" i="6"/>
  <c r="J373" i="6" s="1"/>
  <c r="L373" i="6"/>
  <c r="B373" i="6"/>
  <c r="D373" i="6"/>
  <c r="H373" i="6" s="1"/>
  <c r="K373" i="6"/>
  <c r="E450" i="2"/>
  <c r="F450" i="2"/>
  <c r="A451" i="2" s="1"/>
  <c r="D450" i="2"/>
  <c r="B450" i="2"/>
  <c r="H450" i="2" s="1"/>
  <c r="G450" i="2"/>
  <c r="C450" i="2"/>
  <c r="C374" i="6" l="1"/>
  <c r="K374" i="6"/>
  <c r="I374" i="6"/>
  <c r="J374" i="6" s="1"/>
  <c r="D374" i="6"/>
  <c r="H374" i="6" s="1"/>
  <c r="L374" i="6"/>
  <c r="E374" i="6"/>
  <c r="G374" i="6" s="1"/>
  <c r="B374" i="6"/>
  <c r="F374" i="6"/>
  <c r="A375" i="6" s="1"/>
  <c r="C451" i="2"/>
  <c r="D451" i="2"/>
  <c r="B451" i="2"/>
  <c r="H451" i="2" s="1"/>
  <c r="G451" i="2"/>
  <c r="F451" i="2"/>
  <c r="A452" i="2" s="1"/>
  <c r="E451" i="2"/>
  <c r="B375" i="6" l="1"/>
  <c r="K375" i="6"/>
  <c r="C375" i="6"/>
  <c r="F375" i="6"/>
  <c r="A376" i="6" s="1"/>
  <c r="I375" i="6"/>
  <c r="J375" i="6" s="1"/>
  <c r="D375" i="6"/>
  <c r="H375" i="6" s="1"/>
  <c r="E375" i="6"/>
  <c r="G375" i="6" s="1"/>
  <c r="L375" i="6"/>
  <c r="D452" i="2"/>
  <c r="G452" i="2"/>
  <c r="C452" i="2"/>
  <c r="E452" i="2"/>
  <c r="F452" i="2"/>
  <c r="A453" i="2" s="1"/>
  <c r="B452" i="2"/>
  <c r="H452" i="2" s="1"/>
  <c r="E376" i="6" l="1"/>
  <c r="G376" i="6" s="1"/>
  <c r="C376" i="6"/>
  <c r="D376" i="6"/>
  <c r="H376" i="6" s="1"/>
  <c r="K376" i="6"/>
  <c r="B376" i="6"/>
  <c r="I376" i="6"/>
  <c r="J376" i="6" s="1"/>
  <c r="F376" i="6"/>
  <c r="A377" i="6" s="1"/>
  <c r="L376" i="6"/>
  <c r="C453" i="2"/>
  <c r="D453" i="2"/>
  <c r="F453" i="2"/>
  <c r="A454" i="2" s="1"/>
  <c r="E453" i="2"/>
  <c r="B453" i="2"/>
  <c r="H453" i="2" s="1"/>
  <c r="G453" i="2"/>
  <c r="E377" i="6" l="1"/>
  <c r="G377" i="6" s="1"/>
  <c r="F377" i="6"/>
  <c r="A378" i="6" s="1"/>
  <c r="B377" i="6"/>
  <c r="D377" i="6"/>
  <c r="H377" i="6" s="1"/>
  <c r="K377" i="6"/>
  <c r="C377" i="6"/>
  <c r="I377" i="6"/>
  <c r="J377" i="6" s="1"/>
  <c r="L377" i="6"/>
  <c r="E454" i="2"/>
  <c r="G454" i="2"/>
  <c r="D454" i="2"/>
  <c r="B454" i="2"/>
  <c r="H454" i="2" s="1"/>
  <c r="F454" i="2"/>
  <c r="A455" i="2" s="1"/>
  <c r="C454" i="2"/>
  <c r="B378" i="6" l="1"/>
  <c r="E378" i="6"/>
  <c r="G378" i="6" s="1"/>
  <c r="C378" i="6"/>
  <c r="I378" i="6"/>
  <c r="J378" i="6" s="1"/>
  <c r="F378" i="6"/>
  <c r="A379" i="6" s="1"/>
  <c r="L378" i="6"/>
  <c r="D378" i="6"/>
  <c r="H378" i="6" s="1"/>
  <c r="K378" i="6"/>
  <c r="D455" i="2"/>
  <c r="E455" i="2"/>
  <c r="F455" i="2"/>
  <c r="A456" i="2" s="1"/>
  <c r="C455" i="2"/>
  <c r="B455" i="2"/>
  <c r="H455" i="2" s="1"/>
  <c r="G455" i="2"/>
  <c r="K379" i="6" l="1"/>
  <c r="E379" i="6"/>
  <c r="G379" i="6" s="1"/>
  <c r="L379" i="6"/>
  <c r="I379" i="6"/>
  <c r="J379" i="6" s="1"/>
  <c r="D379" i="6"/>
  <c r="H379" i="6" s="1"/>
  <c r="F379" i="6"/>
  <c r="A380" i="6" s="1"/>
  <c r="C379" i="6"/>
  <c r="B379" i="6"/>
  <c r="E456" i="2"/>
  <c r="D456" i="2"/>
  <c r="G456" i="2"/>
  <c r="C456" i="2"/>
  <c r="F456" i="2"/>
  <c r="A457" i="2" s="1"/>
  <c r="B456" i="2"/>
  <c r="H456" i="2" s="1"/>
  <c r="I380" i="6" l="1"/>
  <c r="J380" i="6" s="1"/>
  <c r="K380" i="6"/>
  <c r="D380" i="6"/>
  <c r="H380" i="6" s="1"/>
  <c r="B380" i="6"/>
  <c r="E380" i="6"/>
  <c r="G380" i="6" s="1"/>
  <c r="F380" i="6"/>
  <c r="A381" i="6" s="1"/>
  <c r="L380" i="6"/>
  <c r="C380" i="6"/>
  <c r="E457" i="2"/>
  <c r="F457" i="2"/>
  <c r="A458" i="2" s="1"/>
  <c r="D457" i="2"/>
  <c r="G457" i="2"/>
  <c r="B457" i="2"/>
  <c r="H457" i="2" s="1"/>
  <c r="C457" i="2"/>
  <c r="I381" i="6" l="1"/>
  <c r="J381" i="6" s="1"/>
  <c r="B381" i="6"/>
  <c r="C381" i="6"/>
  <c r="K381" i="6"/>
  <c r="E381" i="6"/>
  <c r="G381" i="6" s="1"/>
  <c r="F381" i="6"/>
  <c r="A382" i="6" s="1"/>
  <c r="D381" i="6"/>
  <c r="H381" i="6" s="1"/>
  <c r="L381" i="6"/>
  <c r="C458" i="2"/>
  <c r="G458" i="2"/>
  <c r="F458" i="2"/>
  <c r="A459" i="2" s="1"/>
  <c r="D458" i="2"/>
  <c r="B458" i="2"/>
  <c r="H458" i="2" s="1"/>
  <c r="E458" i="2"/>
  <c r="I382" i="6" l="1"/>
  <c r="J382" i="6" s="1"/>
  <c r="F382" i="6"/>
  <c r="A383" i="6" s="1"/>
  <c r="C382" i="6"/>
  <c r="L382" i="6"/>
  <c r="B382" i="6"/>
  <c r="E382" i="6"/>
  <c r="G382" i="6" s="1"/>
  <c r="D382" i="6"/>
  <c r="H382" i="6" s="1"/>
  <c r="K382" i="6"/>
  <c r="E459" i="2"/>
  <c r="G459" i="2"/>
  <c r="F459" i="2"/>
  <c r="A460" i="2" s="1"/>
  <c r="C459" i="2"/>
  <c r="B459" i="2"/>
  <c r="H459" i="2" s="1"/>
  <c r="D459" i="2"/>
  <c r="I383" i="6" l="1"/>
  <c r="J383" i="6" s="1"/>
  <c r="D383" i="6"/>
  <c r="H383" i="6" s="1"/>
  <c r="F383" i="6"/>
  <c r="A384" i="6" s="1"/>
  <c r="C383" i="6"/>
  <c r="L383" i="6"/>
  <c r="B383" i="6"/>
  <c r="K383" i="6"/>
  <c r="E383" i="6"/>
  <c r="G383" i="6" s="1"/>
  <c r="F460" i="2"/>
  <c r="A461" i="2" s="1"/>
  <c r="G460" i="2"/>
  <c r="D460" i="2"/>
  <c r="E460" i="2"/>
  <c r="C460" i="2"/>
  <c r="B460" i="2"/>
  <c r="H460" i="2" s="1"/>
  <c r="I384" i="6" l="1"/>
  <c r="J384" i="6" s="1"/>
  <c r="C384" i="6"/>
  <c r="D384" i="6"/>
  <c r="H384" i="6" s="1"/>
  <c r="B384" i="6"/>
  <c r="F384" i="6"/>
  <c r="A385" i="6" s="1"/>
  <c r="E384" i="6"/>
  <c r="G384" i="6" s="1"/>
  <c r="L384" i="6"/>
  <c r="K384" i="6"/>
  <c r="B461" i="2"/>
  <c r="H461" i="2" s="1"/>
  <c r="E461" i="2"/>
  <c r="G461" i="2"/>
  <c r="F461" i="2"/>
  <c r="A462" i="2" s="1"/>
  <c r="C461" i="2"/>
  <c r="D461" i="2"/>
  <c r="I385" i="6" l="1"/>
  <c r="J385" i="6" s="1"/>
  <c r="E385" i="6"/>
  <c r="G385" i="6" s="1"/>
  <c r="D385" i="6"/>
  <c r="H385" i="6" s="1"/>
  <c r="C385" i="6"/>
  <c r="B385" i="6"/>
  <c r="F385" i="6"/>
  <c r="A386" i="6" s="1"/>
  <c r="K385" i="6"/>
  <c r="L385" i="6"/>
  <c r="D462" i="2"/>
  <c r="C462" i="2"/>
  <c r="G462" i="2"/>
  <c r="B462" i="2"/>
  <c r="H462" i="2" s="1"/>
  <c r="E462" i="2"/>
  <c r="F462" i="2"/>
  <c r="A463" i="2" s="1"/>
  <c r="I386" i="6" l="1"/>
  <c r="J386" i="6" s="1"/>
  <c r="B386" i="6"/>
  <c r="L386" i="6"/>
  <c r="E386" i="6"/>
  <c r="G386" i="6" s="1"/>
  <c r="D386" i="6"/>
  <c r="H386" i="6" s="1"/>
  <c r="F386" i="6"/>
  <c r="A387" i="6" s="1"/>
  <c r="C386" i="6"/>
  <c r="K386" i="6"/>
  <c r="G463" i="2"/>
  <c r="F463" i="2"/>
  <c r="A464" i="2" s="1"/>
  <c r="B463" i="2"/>
  <c r="H463" i="2" s="1"/>
  <c r="E463" i="2"/>
  <c r="C463" i="2"/>
  <c r="D463" i="2"/>
  <c r="I387" i="6" l="1"/>
  <c r="J387" i="6" s="1"/>
  <c r="E387" i="6"/>
  <c r="G387" i="6" s="1"/>
  <c r="F387" i="6"/>
  <c r="A388" i="6" s="1"/>
  <c r="B387" i="6"/>
  <c r="C387" i="6"/>
  <c r="K387" i="6"/>
  <c r="D387" i="6"/>
  <c r="H387" i="6" s="1"/>
  <c r="L387" i="6"/>
  <c r="C464" i="2"/>
  <c r="E464" i="2"/>
  <c r="G464" i="2"/>
  <c r="B464" i="2"/>
  <c r="H464" i="2" s="1"/>
  <c r="F464" i="2"/>
  <c r="A465" i="2" s="1"/>
  <c r="D464" i="2"/>
  <c r="I388" i="6" l="1"/>
  <c r="J388" i="6" s="1"/>
  <c r="E388" i="6"/>
  <c r="G388" i="6" s="1"/>
  <c r="B388" i="6"/>
  <c r="D388" i="6"/>
  <c r="H388" i="6" s="1"/>
  <c r="F388" i="6"/>
  <c r="A389" i="6" s="1"/>
  <c r="L388" i="6"/>
  <c r="C388" i="6"/>
  <c r="K388" i="6"/>
  <c r="F465" i="2"/>
  <c r="A466" i="2" s="1"/>
  <c r="B465" i="2"/>
  <c r="H465" i="2" s="1"/>
  <c r="C465" i="2"/>
  <c r="E465" i="2"/>
  <c r="D465" i="2"/>
  <c r="G465" i="2"/>
  <c r="I389" i="6" l="1"/>
  <c r="J389" i="6" s="1"/>
  <c r="D389" i="6"/>
  <c r="H389" i="6" s="1"/>
  <c r="B389" i="6"/>
  <c r="F389" i="6"/>
  <c r="A390" i="6" s="1"/>
  <c r="L389" i="6"/>
  <c r="C389" i="6"/>
  <c r="K389" i="6"/>
  <c r="E389" i="6"/>
  <c r="G389" i="6" s="1"/>
  <c r="E466" i="2"/>
  <c r="G466" i="2"/>
  <c r="C466" i="2"/>
  <c r="B466" i="2"/>
  <c r="H466" i="2" s="1"/>
  <c r="F466" i="2"/>
  <c r="A467" i="2" s="1"/>
  <c r="D466" i="2"/>
  <c r="I390" i="6" l="1"/>
  <c r="J390" i="6" s="1"/>
  <c r="F390" i="6"/>
  <c r="A391" i="6" s="1"/>
  <c r="B390" i="6"/>
  <c r="C390" i="6"/>
  <c r="D390" i="6"/>
  <c r="H390" i="6" s="1"/>
  <c r="L390" i="6"/>
  <c r="E390" i="6"/>
  <c r="G390" i="6" s="1"/>
  <c r="K390" i="6"/>
  <c r="D467" i="2"/>
  <c r="C467" i="2"/>
  <c r="F467" i="2"/>
  <c r="A468" i="2" s="1"/>
  <c r="E467" i="2"/>
  <c r="G467" i="2"/>
  <c r="B467" i="2"/>
  <c r="H467" i="2" s="1"/>
  <c r="I391" i="6" l="1"/>
  <c r="J391" i="6" s="1"/>
  <c r="C391" i="6"/>
  <c r="F391" i="6"/>
  <c r="A392" i="6" s="1"/>
  <c r="B391" i="6"/>
  <c r="K391" i="6"/>
  <c r="E391" i="6"/>
  <c r="G391" i="6" s="1"/>
  <c r="D391" i="6"/>
  <c r="H391" i="6" s="1"/>
  <c r="L391" i="6"/>
  <c r="D468" i="2"/>
  <c r="G468" i="2"/>
  <c r="C468" i="2"/>
  <c r="F468" i="2"/>
  <c r="A469" i="2" s="1"/>
  <c r="B468" i="2"/>
  <c r="H468" i="2" s="1"/>
  <c r="E468" i="2"/>
  <c r="I392" i="6" l="1"/>
  <c r="J392" i="6" s="1"/>
  <c r="C392" i="6"/>
  <c r="F392" i="6"/>
  <c r="A393" i="6" s="1"/>
  <c r="E392" i="6"/>
  <c r="G392" i="6" s="1"/>
  <c r="B392" i="6"/>
  <c r="D392" i="6"/>
  <c r="H392" i="6" s="1"/>
  <c r="L392" i="6"/>
  <c r="K392" i="6"/>
  <c r="G469" i="2"/>
  <c r="D469" i="2"/>
  <c r="B469" i="2"/>
  <c r="H469" i="2" s="1"/>
  <c r="C469" i="2"/>
  <c r="E469" i="2"/>
  <c r="F469" i="2"/>
  <c r="A470" i="2" s="1"/>
  <c r="I393" i="6" l="1"/>
  <c r="J393" i="6" s="1"/>
  <c r="C393" i="6"/>
  <c r="B393" i="6"/>
  <c r="F393" i="6"/>
  <c r="A394" i="6" s="1"/>
  <c r="E393" i="6"/>
  <c r="G393" i="6" s="1"/>
  <c r="L393" i="6"/>
  <c r="D393" i="6"/>
  <c r="H393" i="6" s="1"/>
  <c r="K393" i="6"/>
  <c r="G470" i="2"/>
  <c r="F470" i="2"/>
  <c r="A471" i="2" s="1"/>
  <c r="B470" i="2"/>
  <c r="H470" i="2" s="1"/>
  <c r="C470" i="2"/>
  <c r="D470" i="2"/>
  <c r="E470" i="2"/>
  <c r="I394" i="6" l="1"/>
  <c r="J394" i="6" s="1"/>
  <c r="D394" i="6"/>
  <c r="H394" i="6" s="1"/>
  <c r="F394" i="6"/>
  <c r="A395" i="6" s="1"/>
  <c r="E394" i="6"/>
  <c r="G394" i="6" s="1"/>
  <c r="C394" i="6"/>
  <c r="B394" i="6"/>
  <c r="K394" i="6"/>
  <c r="L394" i="6"/>
  <c r="C471" i="2"/>
  <c r="E471" i="2"/>
  <c r="F471" i="2"/>
  <c r="A472" i="2" s="1"/>
  <c r="G471" i="2"/>
  <c r="D471" i="2"/>
  <c r="B471" i="2"/>
  <c r="H471" i="2" s="1"/>
  <c r="I395" i="6" l="1"/>
  <c r="J395" i="6" s="1"/>
  <c r="C395" i="6"/>
  <c r="D395" i="6"/>
  <c r="H395" i="6" s="1"/>
  <c r="B395" i="6"/>
  <c r="E395" i="6"/>
  <c r="G395" i="6" s="1"/>
  <c r="F395" i="6"/>
  <c r="A396" i="6" s="1"/>
  <c r="L395" i="6"/>
  <c r="K395" i="6"/>
  <c r="F472" i="2"/>
  <c r="A473" i="2" s="1"/>
  <c r="G472" i="2"/>
  <c r="C472" i="2"/>
  <c r="B472" i="2"/>
  <c r="H472" i="2" s="1"/>
  <c r="E472" i="2"/>
  <c r="D472" i="2"/>
  <c r="I396" i="6" l="1"/>
  <c r="J396" i="6" s="1"/>
  <c r="F396" i="6"/>
  <c r="A397" i="6" s="1"/>
  <c r="E396" i="6"/>
  <c r="G396" i="6" s="1"/>
  <c r="B396" i="6"/>
  <c r="C396" i="6"/>
  <c r="D396" i="6"/>
  <c r="H396" i="6" s="1"/>
  <c r="K396" i="6"/>
  <c r="L396" i="6"/>
  <c r="E473" i="2"/>
  <c r="F473" i="2"/>
  <c r="A474" i="2" s="1"/>
  <c r="C473" i="2"/>
  <c r="B473" i="2"/>
  <c r="H473" i="2" s="1"/>
  <c r="G473" i="2"/>
  <c r="D473" i="2"/>
  <c r="C397" i="6" l="1"/>
  <c r="E397" i="6"/>
  <c r="G397" i="6" s="1"/>
  <c r="D397" i="6"/>
  <c r="H397" i="6" s="1"/>
  <c r="B397" i="6"/>
  <c r="L397" i="6"/>
  <c r="F397" i="6"/>
  <c r="A398" i="6" s="1"/>
  <c r="K397" i="6"/>
  <c r="I397" i="6"/>
  <c r="J397" i="6" s="1"/>
  <c r="G474" i="2"/>
  <c r="B474" i="2"/>
  <c r="H474" i="2" s="1"/>
  <c r="E474" i="2"/>
  <c r="F474" i="2"/>
  <c r="A475" i="2" s="1"/>
  <c r="D474" i="2"/>
  <c r="C474" i="2"/>
  <c r="I398" i="6" l="1"/>
  <c r="J398" i="6" s="1"/>
  <c r="E398" i="6"/>
  <c r="G398" i="6" s="1"/>
  <c r="B398" i="6"/>
  <c r="L398" i="6"/>
  <c r="D398" i="6"/>
  <c r="H398" i="6" s="1"/>
  <c r="C398" i="6"/>
  <c r="F398" i="6"/>
  <c r="A399" i="6" s="1"/>
  <c r="K398" i="6"/>
  <c r="D475" i="2"/>
  <c r="G475" i="2"/>
  <c r="F475" i="2"/>
  <c r="A476" i="2" s="1"/>
  <c r="B475" i="2"/>
  <c r="H475" i="2" s="1"/>
  <c r="C475" i="2"/>
  <c r="E475" i="2"/>
  <c r="I399" i="6" l="1"/>
  <c r="J399" i="6" s="1"/>
  <c r="E399" i="6"/>
  <c r="G399" i="6" s="1"/>
  <c r="C399" i="6"/>
  <c r="L399" i="6"/>
  <c r="D399" i="6"/>
  <c r="H399" i="6" s="1"/>
  <c r="F399" i="6"/>
  <c r="A400" i="6" s="1"/>
  <c r="B399" i="6"/>
  <c r="K399" i="6"/>
  <c r="C476" i="2"/>
  <c r="E476" i="2"/>
  <c r="F476" i="2"/>
  <c r="A477" i="2" s="1"/>
  <c r="G476" i="2"/>
  <c r="D476" i="2"/>
  <c r="B476" i="2"/>
  <c r="H476" i="2" s="1"/>
  <c r="I400" i="6" l="1"/>
  <c r="J400" i="6" s="1"/>
  <c r="F400" i="6"/>
  <c r="A401" i="6" s="1"/>
  <c r="D400" i="6"/>
  <c r="H400" i="6" s="1"/>
  <c r="K400" i="6"/>
  <c r="E400" i="6"/>
  <c r="G400" i="6" s="1"/>
  <c r="C400" i="6"/>
  <c r="B400" i="6"/>
  <c r="L400" i="6"/>
  <c r="B477" i="2"/>
  <c r="H477" i="2" s="1"/>
  <c r="F477" i="2"/>
  <c r="A478" i="2" s="1"/>
  <c r="D477" i="2"/>
  <c r="C477" i="2"/>
  <c r="E477" i="2"/>
  <c r="G477" i="2"/>
  <c r="I401" i="6" l="1"/>
  <c r="J401" i="6" s="1"/>
  <c r="C401" i="6"/>
  <c r="E401" i="6"/>
  <c r="G401" i="6" s="1"/>
  <c r="F401" i="6"/>
  <c r="A402" i="6" s="1"/>
  <c r="L401" i="6"/>
  <c r="D401" i="6"/>
  <c r="H401" i="6" s="1"/>
  <c r="K401" i="6"/>
  <c r="B401" i="6"/>
  <c r="B478" i="2"/>
  <c r="H478" i="2" s="1"/>
  <c r="F478" i="2"/>
  <c r="A479" i="2" s="1"/>
  <c r="C478" i="2"/>
  <c r="G478" i="2"/>
  <c r="E478" i="2"/>
  <c r="D478" i="2"/>
  <c r="I402" i="6" l="1"/>
  <c r="J402" i="6" s="1"/>
  <c r="B402" i="6"/>
  <c r="F402" i="6"/>
  <c r="A403" i="6" s="1"/>
  <c r="D402" i="6"/>
  <c r="H402" i="6" s="1"/>
  <c r="E402" i="6"/>
  <c r="G402" i="6" s="1"/>
  <c r="C402" i="6"/>
  <c r="L402" i="6"/>
  <c r="K402" i="6"/>
  <c r="F479" i="2"/>
  <c r="A480" i="2" s="1"/>
  <c r="D479" i="2"/>
  <c r="G479" i="2"/>
  <c r="E479" i="2"/>
  <c r="C479" i="2"/>
  <c r="B479" i="2"/>
  <c r="H479" i="2" s="1"/>
  <c r="I403" i="6" l="1"/>
  <c r="J403" i="6" s="1"/>
  <c r="C403" i="6"/>
  <c r="D403" i="6"/>
  <c r="H403" i="6" s="1"/>
  <c r="K403" i="6"/>
  <c r="F403" i="6"/>
  <c r="A404" i="6" s="1"/>
  <c r="L403" i="6"/>
  <c r="E403" i="6"/>
  <c r="G403" i="6" s="1"/>
  <c r="B403" i="6"/>
  <c r="F480" i="2"/>
  <c r="A481" i="2" s="1"/>
  <c r="G480" i="2"/>
  <c r="C480" i="2"/>
  <c r="D480" i="2"/>
  <c r="E480" i="2"/>
  <c r="B480" i="2"/>
  <c r="H480" i="2" s="1"/>
  <c r="I404" i="6" l="1"/>
  <c r="J404" i="6" s="1"/>
  <c r="E404" i="6"/>
  <c r="G404" i="6" s="1"/>
  <c r="C404" i="6"/>
  <c r="B404" i="6"/>
  <c r="D404" i="6"/>
  <c r="H404" i="6" s="1"/>
  <c r="L404" i="6"/>
  <c r="F404" i="6"/>
  <c r="A405" i="6" s="1"/>
  <c r="K404" i="6"/>
  <c r="C481" i="2"/>
  <c r="G481" i="2"/>
  <c r="D481" i="2"/>
  <c r="F481" i="2"/>
  <c r="A482" i="2" s="1"/>
  <c r="B481" i="2"/>
  <c r="H481" i="2" s="1"/>
  <c r="E481" i="2"/>
  <c r="I405" i="6" l="1"/>
  <c r="J405" i="6" s="1"/>
  <c r="F405" i="6"/>
  <c r="A406" i="6" s="1"/>
  <c r="B405" i="6"/>
  <c r="C405" i="6"/>
  <c r="E405" i="6"/>
  <c r="G405" i="6" s="1"/>
  <c r="K405" i="6"/>
  <c r="D405" i="6"/>
  <c r="H405" i="6" s="1"/>
  <c r="L405" i="6"/>
  <c r="G482" i="2"/>
  <c r="E482" i="2"/>
  <c r="C482" i="2"/>
  <c r="D482" i="2"/>
  <c r="F482" i="2"/>
  <c r="A483" i="2" s="1"/>
  <c r="B482" i="2"/>
  <c r="H482" i="2" s="1"/>
  <c r="I406" i="6" l="1"/>
  <c r="J406" i="6" s="1"/>
  <c r="C406" i="6"/>
  <c r="E406" i="6"/>
  <c r="G406" i="6" s="1"/>
  <c r="B406" i="6"/>
  <c r="D406" i="6"/>
  <c r="H406" i="6" s="1"/>
  <c r="K406" i="6"/>
  <c r="F406" i="6"/>
  <c r="A407" i="6" s="1"/>
  <c r="L406" i="6"/>
  <c r="D483" i="2"/>
  <c r="B483" i="2"/>
  <c r="H483" i="2" s="1"/>
  <c r="E483" i="2"/>
  <c r="C483" i="2"/>
  <c r="F483" i="2"/>
  <c r="A484" i="2" s="1"/>
  <c r="G483" i="2"/>
  <c r="I407" i="6" l="1"/>
  <c r="J407" i="6" s="1"/>
  <c r="C407" i="6"/>
  <c r="D407" i="6"/>
  <c r="H407" i="6" s="1"/>
  <c r="L407" i="6"/>
  <c r="F407" i="6"/>
  <c r="A408" i="6" s="1"/>
  <c r="E407" i="6"/>
  <c r="G407" i="6" s="1"/>
  <c r="B407" i="6"/>
  <c r="K407" i="6"/>
  <c r="E484" i="2"/>
  <c r="B484" i="2"/>
  <c r="H484" i="2" s="1"/>
  <c r="C484" i="2"/>
  <c r="F484" i="2"/>
  <c r="A485" i="2" s="1"/>
  <c r="G484" i="2"/>
  <c r="D484" i="2"/>
  <c r="I408" i="6" l="1"/>
  <c r="J408" i="6" s="1"/>
  <c r="D408" i="6"/>
  <c r="H408" i="6" s="1"/>
  <c r="C408" i="6"/>
  <c r="F408" i="6"/>
  <c r="A409" i="6" s="1"/>
  <c r="B408" i="6"/>
  <c r="K408" i="6"/>
  <c r="E408" i="6"/>
  <c r="G408" i="6" s="1"/>
  <c r="L408" i="6"/>
  <c r="D485" i="2"/>
  <c r="G485" i="2"/>
  <c r="E485" i="2"/>
  <c r="B485" i="2"/>
  <c r="H485" i="2" s="1"/>
  <c r="C485" i="2"/>
  <c r="F485" i="2"/>
  <c r="A486" i="2" s="1"/>
  <c r="I409" i="6" l="1"/>
  <c r="J409" i="6" s="1"/>
  <c r="F409" i="6"/>
  <c r="A410" i="6" s="1"/>
  <c r="E409" i="6"/>
  <c r="G409" i="6" s="1"/>
  <c r="C409" i="6"/>
  <c r="D409" i="6"/>
  <c r="H409" i="6" s="1"/>
  <c r="L409" i="6"/>
  <c r="B409" i="6"/>
  <c r="K409" i="6"/>
  <c r="D486" i="2"/>
  <c r="E486" i="2"/>
  <c r="B486" i="2"/>
  <c r="H486" i="2" s="1"/>
  <c r="F486" i="2"/>
  <c r="A487" i="2" s="1"/>
  <c r="G486" i="2"/>
  <c r="C486" i="2"/>
  <c r="I410" i="6" l="1"/>
  <c r="J410" i="6" s="1"/>
  <c r="F410" i="6"/>
  <c r="A411" i="6" s="1"/>
  <c r="E410" i="6"/>
  <c r="G410" i="6" s="1"/>
  <c r="D410" i="6"/>
  <c r="H410" i="6" s="1"/>
  <c r="C410" i="6"/>
  <c r="L410" i="6"/>
  <c r="B410" i="6"/>
  <c r="K410" i="6"/>
  <c r="D487" i="2"/>
  <c r="E487" i="2"/>
  <c r="C487" i="2"/>
  <c r="F487" i="2"/>
  <c r="A488" i="2" s="1"/>
  <c r="B487" i="2"/>
  <c r="H487" i="2" s="1"/>
  <c r="G487" i="2"/>
  <c r="I411" i="6" l="1"/>
  <c r="J411" i="6" s="1"/>
  <c r="F411" i="6"/>
  <c r="A412" i="6" s="1"/>
  <c r="E411" i="6"/>
  <c r="G411" i="6" s="1"/>
  <c r="K411" i="6"/>
  <c r="C411" i="6"/>
  <c r="D411" i="6"/>
  <c r="H411" i="6" s="1"/>
  <c r="B411" i="6"/>
  <c r="L411" i="6"/>
  <c r="F488" i="2"/>
  <c r="A489" i="2" s="1"/>
  <c r="D488" i="2"/>
  <c r="B488" i="2"/>
  <c r="H488" i="2" s="1"/>
  <c r="C488" i="2"/>
  <c r="E488" i="2"/>
  <c r="G488" i="2"/>
  <c r="I412" i="6" l="1"/>
  <c r="J412" i="6" s="1"/>
  <c r="D412" i="6"/>
  <c r="H412" i="6" s="1"/>
  <c r="F412" i="6"/>
  <c r="A413" i="6" s="1"/>
  <c r="B412" i="6"/>
  <c r="C412" i="6"/>
  <c r="K412" i="6"/>
  <c r="E412" i="6"/>
  <c r="G412" i="6" s="1"/>
  <c r="L412" i="6"/>
  <c r="F489" i="2"/>
  <c r="A490" i="2" s="1"/>
  <c r="G489" i="2"/>
  <c r="B489" i="2"/>
  <c r="H489" i="2" s="1"/>
  <c r="E489" i="2"/>
  <c r="C489" i="2"/>
  <c r="D489" i="2"/>
  <c r="I413" i="6" l="1"/>
  <c r="J413" i="6" s="1"/>
  <c r="C413" i="6"/>
  <c r="K413" i="6"/>
  <c r="F413" i="6"/>
  <c r="A414" i="6" s="1"/>
  <c r="B413" i="6"/>
  <c r="E413" i="6"/>
  <c r="G413" i="6" s="1"/>
  <c r="L413" i="6"/>
  <c r="D413" i="6"/>
  <c r="H413" i="6" s="1"/>
  <c r="G490" i="2"/>
  <c r="D490" i="2"/>
  <c r="E490" i="2"/>
  <c r="F490" i="2"/>
  <c r="A491" i="2" s="1"/>
  <c r="B490" i="2"/>
  <c r="H490" i="2" s="1"/>
  <c r="C490" i="2"/>
  <c r="I414" i="6" l="1"/>
  <c r="J414" i="6" s="1"/>
  <c r="E414" i="6"/>
  <c r="G414" i="6" s="1"/>
  <c r="C414" i="6"/>
  <c r="D414" i="6"/>
  <c r="H414" i="6" s="1"/>
  <c r="B414" i="6"/>
  <c r="K414" i="6"/>
  <c r="L414" i="6"/>
  <c r="F414" i="6"/>
  <c r="A415" i="6" s="1"/>
  <c r="F491" i="2"/>
  <c r="A492" i="2" s="1"/>
  <c r="C491" i="2"/>
  <c r="E491" i="2"/>
  <c r="B491" i="2"/>
  <c r="H491" i="2" s="1"/>
  <c r="D491" i="2"/>
  <c r="G491" i="2"/>
  <c r="I415" i="6" l="1"/>
  <c r="J415" i="6" s="1"/>
  <c r="F415" i="6"/>
  <c r="A416" i="6" s="1"/>
  <c r="C415" i="6"/>
  <c r="L415" i="6"/>
  <c r="B415" i="6"/>
  <c r="D415" i="6"/>
  <c r="H415" i="6" s="1"/>
  <c r="E415" i="6"/>
  <c r="G415" i="6" s="1"/>
  <c r="K415" i="6"/>
  <c r="F492" i="2"/>
  <c r="A493" i="2" s="1"/>
  <c r="D492" i="2"/>
  <c r="E492" i="2"/>
  <c r="G492" i="2"/>
  <c r="B492" i="2"/>
  <c r="H492" i="2" s="1"/>
  <c r="C492" i="2"/>
  <c r="I416" i="6" l="1"/>
  <c r="J416" i="6" s="1"/>
  <c r="C416" i="6"/>
  <c r="B416" i="6"/>
  <c r="F416" i="6"/>
  <c r="A417" i="6" s="1"/>
  <c r="E416" i="6"/>
  <c r="G416" i="6" s="1"/>
  <c r="K416" i="6"/>
  <c r="D416" i="6"/>
  <c r="H416" i="6" s="1"/>
  <c r="L416" i="6"/>
  <c r="F493" i="2"/>
  <c r="A494" i="2" s="1"/>
  <c r="E493" i="2"/>
  <c r="B493" i="2"/>
  <c r="H493" i="2" s="1"/>
  <c r="D493" i="2"/>
  <c r="C493" i="2"/>
  <c r="G493" i="2"/>
  <c r="I417" i="6" l="1"/>
  <c r="J417" i="6" s="1"/>
  <c r="D417" i="6"/>
  <c r="H417" i="6" s="1"/>
  <c r="B417" i="6"/>
  <c r="F417" i="6"/>
  <c r="A418" i="6" s="1"/>
  <c r="C417" i="6"/>
  <c r="L417" i="6"/>
  <c r="K417" i="6"/>
  <c r="E417" i="6"/>
  <c r="G417" i="6" s="1"/>
  <c r="F494" i="2"/>
  <c r="A495" i="2" s="1"/>
  <c r="C494" i="2"/>
  <c r="D494" i="2"/>
  <c r="G494" i="2"/>
  <c r="E494" i="2"/>
  <c r="B494" i="2"/>
  <c r="H494" i="2" s="1"/>
  <c r="I418" i="6" l="1"/>
  <c r="J418" i="6" s="1"/>
  <c r="B418" i="6"/>
  <c r="L418" i="6"/>
  <c r="D418" i="6"/>
  <c r="H418" i="6" s="1"/>
  <c r="C418" i="6"/>
  <c r="K418" i="6"/>
  <c r="F418" i="6"/>
  <c r="A419" i="6" s="1"/>
  <c r="E418" i="6"/>
  <c r="G418" i="6" s="1"/>
  <c r="B495" i="2"/>
  <c r="H495" i="2" s="1"/>
  <c r="D495" i="2"/>
  <c r="C495" i="2"/>
  <c r="E495" i="2"/>
  <c r="F495" i="2"/>
  <c r="A496" i="2" s="1"/>
  <c r="G495" i="2"/>
  <c r="I419" i="6" l="1"/>
  <c r="J419" i="6" s="1"/>
  <c r="F419" i="6"/>
  <c r="A420" i="6" s="1"/>
  <c r="B419" i="6"/>
  <c r="E419" i="6"/>
  <c r="G419" i="6" s="1"/>
  <c r="D419" i="6"/>
  <c r="H419" i="6" s="1"/>
  <c r="L419" i="6"/>
  <c r="C419" i="6"/>
  <c r="K419" i="6"/>
  <c r="B496" i="2"/>
  <c r="H496" i="2" s="1"/>
  <c r="C496" i="2"/>
  <c r="D496" i="2"/>
  <c r="F496" i="2"/>
  <c r="A497" i="2" s="1"/>
  <c r="E496" i="2"/>
  <c r="G496" i="2"/>
  <c r="I420" i="6" l="1"/>
  <c r="J420" i="6" s="1"/>
  <c r="E420" i="6"/>
  <c r="G420" i="6" s="1"/>
  <c r="D420" i="6"/>
  <c r="H420" i="6" s="1"/>
  <c r="B420" i="6"/>
  <c r="L420" i="6"/>
  <c r="F420" i="6"/>
  <c r="A421" i="6" s="1"/>
  <c r="C420" i="6"/>
  <c r="K420" i="6"/>
  <c r="F497" i="2"/>
  <c r="A498" i="2" s="1"/>
  <c r="E497" i="2"/>
  <c r="B497" i="2"/>
  <c r="H497" i="2" s="1"/>
  <c r="C497" i="2"/>
  <c r="D497" i="2"/>
  <c r="G497" i="2"/>
  <c r="I421" i="6" l="1"/>
  <c r="J421" i="6" s="1"/>
  <c r="C421" i="6"/>
  <c r="B421" i="6"/>
  <c r="F421" i="6"/>
  <c r="A422" i="6" s="1"/>
  <c r="K421" i="6"/>
  <c r="E421" i="6"/>
  <c r="G421" i="6" s="1"/>
  <c r="D421" i="6"/>
  <c r="H421" i="6" s="1"/>
  <c r="L421" i="6"/>
  <c r="D498" i="2"/>
  <c r="F498" i="2"/>
  <c r="A499" i="2" s="1"/>
  <c r="C498" i="2"/>
  <c r="B498" i="2"/>
  <c r="H498" i="2" s="1"/>
  <c r="G498" i="2"/>
  <c r="E498" i="2"/>
  <c r="I422" i="6" l="1"/>
  <c r="J422" i="6" s="1"/>
  <c r="C422" i="6"/>
  <c r="D422" i="6"/>
  <c r="H422" i="6" s="1"/>
  <c r="E422" i="6"/>
  <c r="G422" i="6" s="1"/>
  <c r="B422" i="6"/>
  <c r="L422" i="6"/>
  <c r="F422" i="6"/>
  <c r="A423" i="6" s="1"/>
  <c r="K422" i="6"/>
  <c r="G499" i="2"/>
  <c r="D499" i="2"/>
  <c r="B499" i="2"/>
  <c r="H499" i="2" s="1"/>
  <c r="F499" i="2"/>
  <c r="A500" i="2" s="1"/>
  <c r="C499" i="2"/>
  <c r="E499" i="2"/>
  <c r="I423" i="6" l="1"/>
  <c r="J423" i="6" s="1"/>
  <c r="D423" i="6"/>
  <c r="H423" i="6" s="1"/>
  <c r="E423" i="6"/>
  <c r="G423" i="6" s="1"/>
  <c r="C423" i="6"/>
  <c r="L423" i="6"/>
  <c r="B423" i="6"/>
  <c r="F423" i="6"/>
  <c r="A424" i="6" s="1"/>
  <c r="K423" i="6"/>
  <c r="E500" i="2"/>
  <c r="D500" i="2"/>
  <c r="B500" i="2"/>
  <c r="H500" i="2" s="1"/>
  <c r="G500" i="2"/>
  <c r="C500" i="2"/>
  <c r="F500" i="2"/>
  <c r="A501" i="2" s="1"/>
  <c r="I424" i="6" l="1"/>
  <c r="J424" i="6" s="1"/>
  <c r="F424" i="6"/>
  <c r="A425" i="6" s="1"/>
  <c r="B424" i="6"/>
  <c r="D424" i="6"/>
  <c r="H424" i="6" s="1"/>
  <c r="C424" i="6"/>
  <c r="E424" i="6"/>
  <c r="G424" i="6" s="1"/>
  <c r="L424" i="6"/>
  <c r="K424" i="6"/>
  <c r="G501" i="2"/>
  <c r="B501" i="2"/>
  <c r="H501" i="2" s="1"/>
  <c r="F501" i="2"/>
  <c r="A502" i="2" s="1"/>
  <c r="C501" i="2"/>
  <c r="D501" i="2"/>
  <c r="E501" i="2"/>
  <c r="I425" i="6" l="1"/>
  <c r="J425" i="6" s="1"/>
  <c r="E425" i="6"/>
  <c r="G425" i="6" s="1"/>
  <c r="D425" i="6"/>
  <c r="H425" i="6" s="1"/>
  <c r="C425" i="6"/>
  <c r="F425" i="6"/>
  <c r="A426" i="6" s="1"/>
  <c r="L425" i="6"/>
  <c r="B425" i="6"/>
  <c r="K425" i="6"/>
  <c r="D502" i="2"/>
  <c r="E502" i="2"/>
  <c r="F502" i="2"/>
  <c r="A503" i="2" s="1"/>
  <c r="C502" i="2"/>
  <c r="G502" i="2"/>
  <c r="B502" i="2"/>
  <c r="H502" i="2" s="1"/>
  <c r="I426" i="6" l="1"/>
  <c r="J426" i="6" s="1"/>
  <c r="D426" i="6"/>
  <c r="H426" i="6" s="1"/>
  <c r="C426" i="6"/>
  <c r="F426" i="6"/>
  <c r="A427" i="6" s="1"/>
  <c r="E426" i="6"/>
  <c r="G426" i="6" s="1"/>
  <c r="B426" i="6"/>
  <c r="K426" i="6"/>
  <c r="L426" i="6"/>
  <c r="F503" i="2"/>
  <c r="A504" i="2" s="1"/>
  <c r="E503" i="2"/>
  <c r="D503" i="2"/>
  <c r="C503" i="2"/>
  <c r="G503" i="2"/>
  <c r="B503" i="2"/>
  <c r="H503" i="2" s="1"/>
  <c r="I427" i="6" l="1"/>
  <c r="J427" i="6" s="1"/>
  <c r="D427" i="6"/>
  <c r="H427" i="6" s="1"/>
  <c r="C427" i="6"/>
  <c r="B427" i="6"/>
  <c r="L427" i="6"/>
  <c r="E427" i="6"/>
  <c r="G427" i="6" s="1"/>
  <c r="F427" i="6"/>
  <c r="A428" i="6" s="1"/>
  <c r="K427" i="6"/>
  <c r="D504" i="2"/>
  <c r="F504" i="2"/>
  <c r="A505" i="2" s="1"/>
  <c r="C504" i="2"/>
  <c r="E504" i="2"/>
  <c r="G504" i="2"/>
  <c r="B504" i="2"/>
  <c r="H504" i="2" s="1"/>
  <c r="I428" i="6" l="1"/>
  <c r="J428" i="6" s="1"/>
  <c r="B428" i="6"/>
  <c r="E428" i="6"/>
  <c r="G428" i="6" s="1"/>
  <c r="C428" i="6"/>
  <c r="D428" i="6"/>
  <c r="H428" i="6" s="1"/>
  <c r="F428" i="6"/>
  <c r="A429" i="6" s="1"/>
  <c r="L428" i="6"/>
  <c r="K428" i="6"/>
  <c r="F505" i="2"/>
  <c r="A506" i="2" s="1"/>
  <c r="C505" i="2"/>
  <c r="D505" i="2"/>
  <c r="G505" i="2"/>
  <c r="E505" i="2"/>
  <c r="B505" i="2"/>
  <c r="H505" i="2" s="1"/>
  <c r="I429" i="6" l="1"/>
  <c r="J429" i="6" s="1"/>
  <c r="D429" i="6"/>
  <c r="H429" i="6" s="1"/>
  <c r="F429" i="6"/>
  <c r="A430" i="6" s="1"/>
  <c r="C429" i="6"/>
  <c r="E429" i="6"/>
  <c r="G429" i="6" s="1"/>
  <c r="K429" i="6"/>
  <c r="B429" i="6"/>
  <c r="L429" i="6"/>
  <c r="D506" i="2"/>
  <c r="F506" i="2"/>
  <c r="A507" i="2" s="1"/>
  <c r="E506" i="2"/>
  <c r="G506" i="2"/>
  <c r="B506" i="2"/>
  <c r="H506" i="2" s="1"/>
  <c r="C506" i="2"/>
  <c r="I430" i="6" l="1"/>
  <c r="J430" i="6" s="1"/>
  <c r="D430" i="6"/>
  <c r="H430" i="6" s="1"/>
  <c r="C430" i="6"/>
  <c r="F430" i="6"/>
  <c r="A431" i="6" s="1"/>
  <c r="K430" i="6"/>
  <c r="B430" i="6"/>
  <c r="E430" i="6"/>
  <c r="G430" i="6" s="1"/>
  <c r="L430" i="6"/>
  <c r="B507" i="2"/>
  <c r="H507" i="2" s="1"/>
  <c r="G507" i="2"/>
  <c r="F507" i="2"/>
  <c r="A508" i="2" s="1"/>
  <c r="E507" i="2"/>
  <c r="C507" i="2"/>
  <c r="D507" i="2"/>
  <c r="I431" i="6" l="1"/>
  <c r="J431" i="6" s="1"/>
  <c r="C431" i="6"/>
  <c r="E431" i="6"/>
  <c r="G431" i="6" s="1"/>
  <c r="D431" i="6"/>
  <c r="H431" i="6" s="1"/>
  <c r="F431" i="6"/>
  <c r="A432" i="6" s="1"/>
  <c r="B431" i="6"/>
  <c r="L431" i="6"/>
  <c r="K431" i="6"/>
  <c r="D508" i="2"/>
  <c r="E508" i="2"/>
  <c r="F508" i="2"/>
  <c r="A509" i="2" s="1"/>
  <c r="C508" i="2"/>
  <c r="G508" i="2"/>
  <c r="B508" i="2"/>
  <c r="H508" i="2" s="1"/>
  <c r="I432" i="6" l="1"/>
  <c r="J432" i="6" s="1"/>
  <c r="C432" i="6"/>
  <c r="D432" i="6"/>
  <c r="H432" i="6" s="1"/>
  <c r="F432" i="6"/>
  <c r="A433" i="6" s="1"/>
  <c r="L432" i="6"/>
  <c r="E432" i="6"/>
  <c r="G432" i="6" s="1"/>
  <c r="B432" i="6"/>
  <c r="K432" i="6"/>
  <c r="C509" i="2"/>
  <c r="G509" i="2"/>
  <c r="D509" i="2"/>
  <c r="E509" i="2"/>
  <c r="F509" i="2"/>
  <c r="A510" i="2" s="1"/>
  <c r="B509" i="2"/>
  <c r="H509" i="2" s="1"/>
  <c r="I433" i="6" l="1"/>
  <c r="J433" i="6" s="1"/>
  <c r="E433" i="6"/>
  <c r="G433" i="6" s="1"/>
  <c r="C433" i="6"/>
  <c r="F433" i="6"/>
  <c r="A434" i="6" s="1"/>
  <c r="D433" i="6"/>
  <c r="H433" i="6" s="1"/>
  <c r="B433" i="6"/>
  <c r="L433" i="6"/>
  <c r="K433" i="6"/>
  <c r="G510" i="2"/>
  <c r="F510" i="2"/>
  <c r="A511" i="2" s="1"/>
  <c r="D510" i="2"/>
  <c r="C510" i="2"/>
  <c r="B510" i="2"/>
  <c r="H510" i="2" s="1"/>
  <c r="E510" i="2"/>
  <c r="I434" i="6" l="1"/>
  <c r="J434" i="6" s="1"/>
  <c r="C434" i="6"/>
  <c r="F434" i="6"/>
  <c r="A435" i="6" s="1"/>
  <c r="B434" i="6"/>
  <c r="K434" i="6"/>
  <c r="E434" i="6"/>
  <c r="G434" i="6" s="1"/>
  <c r="D434" i="6"/>
  <c r="H434" i="6" s="1"/>
  <c r="L434" i="6"/>
  <c r="F511" i="2"/>
  <c r="A512" i="2" s="1"/>
  <c r="D511" i="2"/>
  <c r="G511" i="2"/>
  <c r="B511" i="2"/>
  <c r="H511" i="2" s="1"/>
  <c r="C511" i="2"/>
  <c r="E511" i="2"/>
  <c r="I435" i="6" l="1"/>
  <c r="J435" i="6" s="1"/>
  <c r="C435" i="6"/>
  <c r="D435" i="6"/>
  <c r="H435" i="6" s="1"/>
  <c r="F435" i="6"/>
  <c r="A436" i="6" s="1"/>
  <c r="E435" i="6"/>
  <c r="G435" i="6" s="1"/>
  <c r="B435" i="6"/>
  <c r="L435" i="6"/>
  <c r="K435" i="6"/>
  <c r="C512" i="2"/>
  <c r="E512" i="2"/>
  <c r="G512" i="2"/>
  <c r="B512" i="2"/>
  <c r="H512" i="2" s="1"/>
  <c r="F512" i="2"/>
  <c r="A513" i="2" s="1"/>
  <c r="D512" i="2"/>
  <c r="I436" i="6" l="1"/>
  <c r="J436" i="6" s="1"/>
  <c r="D436" i="6"/>
  <c r="H436" i="6" s="1"/>
  <c r="B436" i="6"/>
  <c r="E436" i="6"/>
  <c r="G436" i="6" s="1"/>
  <c r="K436" i="6"/>
  <c r="F436" i="6"/>
  <c r="A437" i="6" s="1"/>
  <c r="C436" i="6"/>
  <c r="L436" i="6"/>
  <c r="F513" i="2"/>
  <c r="A514" i="2" s="1"/>
  <c r="G513" i="2"/>
  <c r="D513" i="2"/>
  <c r="E513" i="2"/>
  <c r="C513" i="2"/>
  <c r="B513" i="2"/>
  <c r="H513" i="2" s="1"/>
  <c r="I437" i="6" l="1"/>
  <c r="J437" i="6" s="1"/>
  <c r="C437" i="6"/>
  <c r="F437" i="6"/>
  <c r="A438" i="6" s="1"/>
  <c r="D437" i="6"/>
  <c r="H437" i="6" s="1"/>
  <c r="E437" i="6"/>
  <c r="G437" i="6" s="1"/>
  <c r="K437" i="6"/>
  <c r="B437" i="6"/>
  <c r="L437" i="6"/>
  <c r="G514" i="2"/>
  <c r="D514" i="2"/>
  <c r="C514" i="2"/>
  <c r="B514" i="2"/>
  <c r="H514" i="2" s="1"/>
  <c r="E514" i="2"/>
  <c r="F514" i="2"/>
  <c r="A515" i="2" s="1"/>
  <c r="I438" i="6" l="1"/>
  <c r="J438" i="6" s="1"/>
  <c r="B438" i="6"/>
  <c r="F438" i="6"/>
  <c r="A439" i="6" s="1"/>
  <c r="E438" i="6"/>
  <c r="G438" i="6" s="1"/>
  <c r="K438" i="6"/>
  <c r="D438" i="6"/>
  <c r="H438" i="6" s="1"/>
  <c r="C438" i="6"/>
  <c r="L438" i="6"/>
  <c r="G515" i="2"/>
  <c r="E515" i="2"/>
  <c r="F515" i="2"/>
  <c r="A516" i="2" s="1"/>
  <c r="C515" i="2"/>
  <c r="B515" i="2"/>
  <c r="H515" i="2" s="1"/>
  <c r="D515" i="2"/>
  <c r="I439" i="6" l="1"/>
  <c r="J439" i="6" s="1"/>
  <c r="F439" i="6"/>
  <c r="A440" i="6" s="1"/>
  <c r="E439" i="6"/>
  <c r="G439" i="6" s="1"/>
  <c r="D439" i="6"/>
  <c r="H439" i="6" s="1"/>
  <c r="L439" i="6"/>
  <c r="K439" i="6"/>
  <c r="C439" i="6"/>
  <c r="B439" i="6"/>
  <c r="G516" i="2"/>
  <c r="F516" i="2"/>
  <c r="A517" i="2" s="1"/>
  <c r="D516" i="2"/>
  <c r="E516" i="2"/>
  <c r="C516" i="2"/>
  <c r="B516" i="2"/>
  <c r="H516" i="2" s="1"/>
  <c r="I440" i="6" l="1"/>
  <c r="J440" i="6" s="1"/>
  <c r="B440" i="6"/>
  <c r="F440" i="6"/>
  <c r="A441" i="6" s="1"/>
  <c r="D440" i="6"/>
  <c r="H440" i="6" s="1"/>
  <c r="E440" i="6"/>
  <c r="G440" i="6" s="1"/>
  <c r="L440" i="6"/>
  <c r="K440" i="6"/>
  <c r="C440" i="6"/>
  <c r="G517" i="2"/>
  <c r="E517" i="2"/>
  <c r="D517" i="2"/>
  <c r="C517" i="2"/>
  <c r="B517" i="2"/>
  <c r="H517" i="2" s="1"/>
  <c r="F517" i="2"/>
  <c r="A518" i="2" s="1"/>
  <c r="I441" i="6" l="1"/>
  <c r="J441" i="6" s="1"/>
  <c r="E441" i="6"/>
  <c r="G441" i="6" s="1"/>
  <c r="L441" i="6"/>
  <c r="F441" i="6"/>
  <c r="A442" i="6" s="1"/>
  <c r="B441" i="6"/>
  <c r="C441" i="6"/>
  <c r="K441" i="6"/>
  <c r="D441" i="6"/>
  <c r="H441" i="6" s="1"/>
  <c r="F518" i="2"/>
  <c r="A519" i="2" s="1"/>
  <c r="C518" i="2"/>
  <c r="G518" i="2"/>
  <c r="E518" i="2"/>
  <c r="B518" i="2"/>
  <c r="H518" i="2" s="1"/>
  <c r="D518" i="2"/>
  <c r="I442" i="6" l="1"/>
  <c r="J442" i="6" s="1"/>
  <c r="B442" i="6"/>
  <c r="F442" i="6"/>
  <c r="A443" i="6" s="1"/>
  <c r="D442" i="6"/>
  <c r="H442" i="6" s="1"/>
  <c r="L442" i="6"/>
  <c r="C442" i="6"/>
  <c r="E442" i="6"/>
  <c r="G442" i="6" s="1"/>
  <c r="K442" i="6"/>
  <c r="E519" i="2"/>
  <c r="C519" i="2"/>
  <c r="D519" i="2"/>
  <c r="G519" i="2"/>
  <c r="B519" i="2"/>
  <c r="H519" i="2" s="1"/>
  <c r="F519" i="2"/>
  <c r="A520" i="2" s="1"/>
  <c r="I443" i="6" l="1"/>
  <c r="J443" i="6" s="1"/>
  <c r="K443" i="6"/>
  <c r="D443" i="6"/>
  <c r="H443" i="6" s="1"/>
  <c r="L443" i="6"/>
  <c r="B443" i="6"/>
  <c r="C443" i="6"/>
  <c r="E443" i="6"/>
  <c r="G443" i="6" s="1"/>
  <c r="F443" i="6"/>
  <c r="A444" i="6" s="1"/>
  <c r="E520" i="2"/>
  <c r="G520" i="2"/>
  <c r="F520" i="2"/>
  <c r="A521" i="2" s="1"/>
  <c r="C520" i="2"/>
  <c r="D520" i="2"/>
  <c r="B520" i="2"/>
  <c r="H520" i="2" s="1"/>
  <c r="I444" i="6" l="1"/>
  <c r="J444" i="6" s="1"/>
  <c r="D444" i="6"/>
  <c r="H444" i="6" s="1"/>
  <c r="C444" i="6"/>
  <c r="L444" i="6"/>
  <c r="B444" i="6"/>
  <c r="F444" i="6"/>
  <c r="A445" i="6" s="1"/>
  <c r="K444" i="6"/>
  <c r="E444" i="6"/>
  <c r="G444" i="6" s="1"/>
  <c r="C521" i="2"/>
  <c r="D521" i="2"/>
  <c r="B521" i="2"/>
  <c r="H521" i="2" s="1"/>
  <c r="E521" i="2"/>
  <c r="F521" i="2"/>
  <c r="A522" i="2" s="1"/>
  <c r="G521" i="2"/>
  <c r="I445" i="6" l="1"/>
  <c r="J445" i="6" s="1"/>
  <c r="E445" i="6"/>
  <c r="G445" i="6" s="1"/>
  <c r="D445" i="6"/>
  <c r="H445" i="6" s="1"/>
  <c r="F445" i="6"/>
  <c r="A446" i="6" s="1"/>
  <c r="K445" i="6"/>
  <c r="C445" i="6"/>
  <c r="B445" i="6"/>
  <c r="L445" i="6"/>
  <c r="D522" i="2"/>
  <c r="G522" i="2"/>
  <c r="B522" i="2"/>
  <c r="H522" i="2" s="1"/>
  <c r="F522" i="2"/>
  <c r="A523" i="2" s="1"/>
  <c r="C522" i="2"/>
  <c r="E522" i="2"/>
  <c r="I446" i="6" l="1"/>
  <c r="J446" i="6" s="1"/>
  <c r="B446" i="6"/>
  <c r="C446" i="6"/>
  <c r="D446" i="6"/>
  <c r="H446" i="6" s="1"/>
  <c r="L446" i="6"/>
  <c r="E446" i="6"/>
  <c r="G446" i="6" s="1"/>
  <c r="F446" i="6"/>
  <c r="A447" i="6" s="1"/>
  <c r="K446" i="6"/>
  <c r="F523" i="2"/>
  <c r="A524" i="2" s="1"/>
  <c r="G523" i="2"/>
  <c r="D523" i="2"/>
  <c r="C523" i="2"/>
  <c r="E523" i="2"/>
  <c r="B523" i="2"/>
  <c r="H523" i="2" s="1"/>
  <c r="I447" i="6" l="1"/>
  <c r="J447" i="6" s="1"/>
  <c r="F447" i="6"/>
  <c r="A448" i="6" s="1"/>
  <c r="C447" i="6"/>
  <c r="D447" i="6"/>
  <c r="H447" i="6" s="1"/>
  <c r="E447" i="6"/>
  <c r="G447" i="6" s="1"/>
  <c r="B447" i="6"/>
  <c r="K447" i="6"/>
  <c r="L447" i="6"/>
  <c r="B524" i="2"/>
  <c r="H524" i="2" s="1"/>
  <c r="F524" i="2"/>
  <c r="A525" i="2" s="1"/>
  <c r="D524" i="2"/>
  <c r="C524" i="2"/>
  <c r="E524" i="2"/>
  <c r="G524" i="2"/>
  <c r="I448" i="6" l="1"/>
  <c r="J448" i="6" s="1"/>
  <c r="F448" i="6"/>
  <c r="A449" i="6" s="1"/>
  <c r="C448" i="6"/>
  <c r="B448" i="6"/>
  <c r="E448" i="6"/>
  <c r="G448" i="6" s="1"/>
  <c r="D448" i="6"/>
  <c r="H448" i="6" s="1"/>
  <c r="L448" i="6"/>
  <c r="K448" i="6"/>
  <c r="F525" i="2"/>
  <c r="A526" i="2" s="1"/>
  <c r="G525" i="2"/>
  <c r="B525" i="2"/>
  <c r="H525" i="2" s="1"/>
  <c r="E525" i="2"/>
  <c r="C525" i="2"/>
  <c r="D525" i="2"/>
  <c r="I449" i="6" l="1"/>
  <c r="J449" i="6" s="1"/>
  <c r="D449" i="6"/>
  <c r="H449" i="6" s="1"/>
  <c r="B449" i="6"/>
  <c r="F449" i="6"/>
  <c r="A450" i="6" s="1"/>
  <c r="C449" i="6"/>
  <c r="L449" i="6"/>
  <c r="E449" i="6"/>
  <c r="G449" i="6" s="1"/>
  <c r="K449" i="6"/>
  <c r="C526" i="2"/>
  <c r="F526" i="2"/>
  <c r="A527" i="2" s="1"/>
  <c r="G526" i="2"/>
  <c r="D526" i="2"/>
  <c r="B526" i="2"/>
  <c r="H526" i="2" s="1"/>
  <c r="E526" i="2"/>
  <c r="I450" i="6" l="1"/>
  <c r="J450" i="6" s="1"/>
  <c r="B450" i="6"/>
  <c r="E450" i="6"/>
  <c r="G450" i="6" s="1"/>
  <c r="D450" i="6"/>
  <c r="H450" i="6" s="1"/>
  <c r="C450" i="6"/>
  <c r="F450" i="6"/>
  <c r="A451" i="6" s="1"/>
  <c r="L450" i="6"/>
  <c r="K450" i="6"/>
  <c r="B527" i="2"/>
  <c r="H527" i="2" s="1"/>
  <c r="F527" i="2"/>
  <c r="A528" i="2" s="1"/>
  <c r="E527" i="2"/>
  <c r="G527" i="2"/>
  <c r="D527" i="2"/>
  <c r="C527" i="2"/>
  <c r="I451" i="6" l="1"/>
  <c r="J451" i="6" s="1"/>
  <c r="C451" i="6"/>
  <c r="D451" i="6"/>
  <c r="H451" i="6" s="1"/>
  <c r="B451" i="6"/>
  <c r="K451" i="6"/>
  <c r="E451" i="6"/>
  <c r="G451" i="6" s="1"/>
  <c r="L451" i="6"/>
  <c r="F451" i="6"/>
  <c r="A452" i="6" s="1"/>
  <c r="E528" i="2"/>
  <c r="G528" i="2"/>
  <c r="B528" i="2"/>
  <c r="H528" i="2" s="1"/>
  <c r="F528" i="2"/>
  <c r="A529" i="2" s="1"/>
  <c r="D528" i="2"/>
  <c r="C528" i="2"/>
  <c r="I452" i="6" l="1"/>
  <c r="J452" i="6" s="1"/>
  <c r="E452" i="6"/>
  <c r="G452" i="6" s="1"/>
  <c r="D452" i="6"/>
  <c r="H452" i="6" s="1"/>
  <c r="C452" i="6"/>
  <c r="F452" i="6"/>
  <c r="A453" i="6" s="1"/>
  <c r="B452" i="6"/>
  <c r="K452" i="6"/>
  <c r="L452" i="6"/>
  <c r="B529" i="2"/>
  <c r="H529" i="2" s="1"/>
  <c r="F529" i="2"/>
  <c r="A530" i="2" s="1"/>
  <c r="D529" i="2"/>
  <c r="G529" i="2"/>
  <c r="E529" i="2"/>
  <c r="C529" i="2"/>
  <c r="I453" i="6" l="1"/>
  <c r="J453" i="6" s="1"/>
  <c r="C453" i="6"/>
  <c r="D453" i="6"/>
  <c r="H453" i="6" s="1"/>
  <c r="F453" i="6"/>
  <c r="A454" i="6" s="1"/>
  <c r="E453" i="6"/>
  <c r="G453" i="6" s="1"/>
  <c r="K453" i="6"/>
  <c r="B453" i="6"/>
  <c r="L453" i="6"/>
  <c r="E530" i="2"/>
  <c r="F530" i="2"/>
  <c r="A531" i="2" s="1"/>
  <c r="D530" i="2"/>
  <c r="G530" i="2"/>
  <c r="C530" i="2"/>
  <c r="B530" i="2"/>
  <c r="H530" i="2" s="1"/>
  <c r="I454" i="6" l="1"/>
  <c r="J454" i="6" s="1"/>
  <c r="B454" i="6"/>
  <c r="C454" i="6"/>
  <c r="F454" i="6"/>
  <c r="A455" i="6" s="1"/>
  <c r="D454" i="6"/>
  <c r="H454" i="6" s="1"/>
  <c r="L454" i="6"/>
  <c r="E454" i="6"/>
  <c r="G454" i="6" s="1"/>
  <c r="K454" i="6"/>
  <c r="C531" i="2"/>
  <c r="B531" i="2"/>
  <c r="H531" i="2" s="1"/>
  <c r="G531" i="2"/>
  <c r="F531" i="2"/>
  <c r="A532" i="2" s="1"/>
  <c r="D531" i="2"/>
  <c r="E531" i="2"/>
  <c r="I455" i="6" l="1"/>
  <c r="J455" i="6" s="1"/>
  <c r="B455" i="6"/>
  <c r="D455" i="6"/>
  <c r="H455" i="6" s="1"/>
  <c r="F455" i="6"/>
  <c r="A456" i="6" s="1"/>
  <c r="C455" i="6"/>
  <c r="L455" i="6"/>
  <c r="E455" i="6"/>
  <c r="G455" i="6" s="1"/>
  <c r="K455" i="6"/>
  <c r="D532" i="2"/>
  <c r="F532" i="2"/>
  <c r="A533" i="2" s="1"/>
  <c r="E532" i="2"/>
  <c r="C532" i="2"/>
  <c r="G532" i="2"/>
  <c r="B532" i="2"/>
  <c r="H532" i="2" s="1"/>
  <c r="I456" i="6" l="1"/>
  <c r="J456" i="6" s="1"/>
  <c r="E456" i="6"/>
  <c r="G456" i="6" s="1"/>
  <c r="C456" i="6"/>
  <c r="B456" i="6"/>
  <c r="F456" i="6"/>
  <c r="A457" i="6" s="1"/>
  <c r="L456" i="6"/>
  <c r="D456" i="6"/>
  <c r="H456" i="6" s="1"/>
  <c r="K456" i="6"/>
  <c r="D533" i="2"/>
  <c r="C533" i="2"/>
  <c r="E533" i="2"/>
  <c r="B533" i="2"/>
  <c r="H533" i="2" s="1"/>
  <c r="F533" i="2"/>
  <c r="A534" i="2" s="1"/>
  <c r="G533" i="2"/>
  <c r="I457" i="6" l="1"/>
  <c r="J457" i="6" s="1"/>
  <c r="B457" i="6"/>
  <c r="D457" i="6"/>
  <c r="H457" i="6" s="1"/>
  <c r="F457" i="6"/>
  <c r="A458" i="6" s="1"/>
  <c r="L457" i="6"/>
  <c r="C457" i="6"/>
  <c r="E457" i="6"/>
  <c r="G457" i="6" s="1"/>
  <c r="K457" i="6"/>
  <c r="C534" i="2"/>
  <c r="D534" i="2"/>
  <c r="F534" i="2"/>
  <c r="A535" i="2" s="1"/>
  <c r="G534" i="2"/>
  <c r="E534" i="2"/>
  <c r="B534" i="2"/>
  <c r="H534" i="2" s="1"/>
  <c r="I458" i="6" l="1"/>
  <c r="J458" i="6" s="1"/>
  <c r="B458" i="6"/>
  <c r="K458" i="6"/>
  <c r="L458" i="6"/>
  <c r="E458" i="6"/>
  <c r="G458" i="6" s="1"/>
  <c r="C458" i="6"/>
  <c r="F458" i="6"/>
  <c r="A459" i="6" s="1"/>
  <c r="D458" i="6"/>
  <c r="H458" i="6" s="1"/>
  <c r="C535" i="2"/>
  <c r="B535" i="2"/>
  <c r="H535" i="2" s="1"/>
  <c r="F535" i="2"/>
  <c r="A536" i="2" s="1"/>
  <c r="E535" i="2"/>
  <c r="D535" i="2"/>
  <c r="G535" i="2"/>
  <c r="I459" i="6" l="1"/>
  <c r="J459" i="6" s="1"/>
  <c r="K459" i="6"/>
  <c r="E459" i="6"/>
  <c r="G459" i="6" s="1"/>
  <c r="L459" i="6"/>
  <c r="C459" i="6"/>
  <c r="D459" i="6"/>
  <c r="H459" i="6" s="1"/>
  <c r="F459" i="6"/>
  <c r="A460" i="6" s="1"/>
  <c r="B459" i="6"/>
  <c r="D536" i="2"/>
  <c r="G536" i="2"/>
  <c r="E536" i="2"/>
  <c r="F536" i="2"/>
  <c r="A537" i="2" s="1"/>
  <c r="C536" i="2"/>
  <c r="B536" i="2"/>
  <c r="H536" i="2" s="1"/>
  <c r="I460" i="6" l="1"/>
  <c r="J460" i="6" s="1"/>
  <c r="C460" i="6"/>
  <c r="D460" i="6"/>
  <c r="H460" i="6" s="1"/>
  <c r="B460" i="6"/>
  <c r="F460" i="6"/>
  <c r="A461" i="6" s="1"/>
  <c r="K460" i="6"/>
  <c r="E460" i="6"/>
  <c r="G460" i="6" s="1"/>
  <c r="L460" i="6"/>
  <c r="G537" i="2"/>
  <c r="C537" i="2"/>
  <c r="D537" i="2"/>
  <c r="E537" i="2"/>
  <c r="B537" i="2"/>
  <c r="H537" i="2" s="1"/>
  <c r="F537" i="2"/>
  <c r="A538" i="2" s="1"/>
  <c r="I461" i="6" l="1"/>
  <c r="J461" i="6" s="1"/>
  <c r="E461" i="6"/>
  <c r="G461" i="6" s="1"/>
  <c r="C461" i="6"/>
  <c r="F461" i="6"/>
  <c r="A462" i="6" s="1"/>
  <c r="B461" i="6"/>
  <c r="L461" i="6"/>
  <c r="D461" i="6"/>
  <c r="H461" i="6" s="1"/>
  <c r="K461" i="6"/>
  <c r="F538" i="2"/>
  <c r="A539" i="2" s="1"/>
  <c r="B538" i="2"/>
  <c r="H538" i="2" s="1"/>
  <c r="G538" i="2"/>
  <c r="C538" i="2"/>
  <c r="E538" i="2"/>
  <c r="D538" i="2"/>
  <c r="I462" i="6" l="1"/>
  <c r="J462" i="6" s="1"/>
  <c r="D462" i="6"/>
  <c r="H462" i="6" s="1"/>
  <c r="C462" i="6"/>
  <c r="B462" i="6"/>
  <c r="F462" i="6"/>
  <c r="A463" i="6" s="1"/>
  <c r="E462" i="6"/>
  <c r="G462" i="6" s="1"/>
  <c r="K462" i="6"/>
  <c r="L462" i="6"/>
  <c r="E539" i="2"/>
  <c r="D539" i="2"/>
  <c r="B539" i="2"/>
  <c r="H539" i="2" s="1"/>
  <c r="C539" i="2"/>
  <c r="G539" i="2"/>
  <c r="F539" i="2"/>
  <c r="A540" i="2" s="1"/>
  <c r="I463" i="6" l="1"/>
  <c r="J463" i="6" s="1"/>
  <c r="D463" i="6"/>
  <c r="H463" i="6" s="1"/>
  <c r="B463" i="6"/>
  <c r="L463" i="6"/>
  <c r="E463" i="6"/>
  <c r="G463" i="6" s="1"/>
  <c r="C463" i="6"/>
  <c r="F463" i="6"/>
  <c r="A464" i="6" s="1"/>
  <c r="K463" i="6"/>
  <c r="F540" i="2"/>
  <c r="A541" i="2" s="1"/>
  <c r="G540" i="2"/>
  <c r="D540" i="2"/>
  <c r="C540" i="2"/>
  <c r="E540" i="2"/>
  <c r="B540" i="2"/>
  <c r="H540" i="2" s="1"/>
  <c r="I464" i="6" l="1"/>
  <c r="J464" i="6" s="1"/>
  <c r="C464" i="6"/>
  <c r="F464" i="6"/>
  <c r="A465" i="6" s="1"/>
  <c r="K464" i="6"/>
  <c r="E464" i="6"/>
  <c r="G464" i="6" s="1"/>
  <c r="D464" i="6"/>
  <c r="H464" i="6" s="1"/>
  <c r="L464" i="6"/>
  <c r="B464" i="6"/>
  <c r="B541" i="2"/>
  <c r="H541" i="2" s="1"/>
  <c r="D541" i="2"/>
  <c r="G541" i="2"/>
  <c r="C541" i="2"/>
  <c r="E541" i="2"/>
  <c r="F541" i="2"/>
  <c r="A542" i="2" s="1"/>
  <c r="I465" i="6" l="1"/>
  <c r="J465" i="6" s="1"/>
  <c r="C465" i="6"/>
  <c r="F465" i="6"/>
  <c r="A466" i="6" s="1"/>
  <c r="E465" i="6"/>
  <c r="G465" i="6" s="1"/>
  <c r="L465" i="6"/>
  <c r="D465" i="6"/>
  <c r="H465" i="6" s="1"/>
  <c r="B465" i="6"/>
  <c r="K465" i="6"/>
  <c r="B542" i="2"/>
  <c r="H542" i="2" s="1"/>
  <c r="D542" i="2"/>
  <c r="C542" i="2"/>
  <c r="E542" i="2"/>
  <c r="G542" i="2"/>
  <c r="F542" i="2"/>
  <c r="A543" i="2" s="1"/>
  <c r="I466" i="6" l="1"/>
  <c r="J466" i="6" s="1"/>
  <c r="B466" i="6"/>
  <c r="D466" i="6"/>
  <c r="H466" i="6" s="1"/>
  <c r="E466" i="6"/>
  <c r="G466" i="6" s="1"/>
  <c r="C466" i="6"/>
  <c r="F466" i="6"/>
  <c r="A467" i="6" s="1"/>
  <c r="K466" i="6"/>
  <c r="L466" i="6"/>
  <c r="D543" i="2"/>
  <c r="G543" i="2"/>
  <c r="C543" i="2"/>
  <c r="F543" i="2"/>
  <c r="A544" i="2" s="1"/>
  <c r="E543" i="2"/>
  <c r="B543" i="2"/>
  <c r="H543" i="2" s="1"/>
  <c r="I467" i="6" l="1"/>
  <c r="J467" i="6" s="1"/>
  <c r="B467" i="6"/>
  <c r="D467" i="6"/>
  <c r="H467" i="6" s="1"/>
  <c r="L467" i="6"/>
  <c r="E467" i="6"/>
  <c r="G467" i="6" s="1"/>
  <c r="F467" i="6"/>
  <c r="A468" i="6" s="1"/>
  <c r="K467" i="6"/>
  <c r="C467" i="6"/>
  <c r="E544" i="2"/>
  <c r="G544" i="2"/>
  <c r="F544" i="2"/>
  <c r="A545" i="2" s="1"/>
  <c r="B544" i="2"/>
  <c r="H544" i="2" s="1"/>
  <c r="C544" i="2"/>
  <c r="D544" i="2"/>
  <c r="I468" i="6" l="1"/>
  <c r="J468" i="6" s="1"/>
  <c r="D468" i="6"/>
  <c r="H468" i="6" s="1"/>
  <c r="C468" i="6"/>
  <c r="F468" i="6"/>
  <c r="A469" i="6" s="1"/>
  <c r="E468" i="6"/>
  <c r="G468" i="6" s="1"/>
  <c r="K468" i="6"/>
  <c r="B468" i="6"/>
  <c r="L468" i="6"/>
  <c r="B545" i="2"/>
  <c r="H545" i="2" s="1"/>
  <c r="C545" i="2"/>
  <c r="D545" i="2"/>
  <c r="F545" i="2"/>
  <c r="A546" i="2" s="1"/>
  <c r="G545" i="2"/>
  <c r="E545" i="2"/>
  <c r="I469" i="6" l="1"/>
  <c r="J469" i="6" s="1"/>
  <c r="B469" i="6"/>
  <c r="D469" i="6"/>
  <c r="H469" i="6" s="1"/>
  <c r="E469" i="6"/>
  <c r="G469" i="6" s="1"/>
  <c r="C469" i="6"/>
  <c r="L469" i="6"/>
  <c r="K469" i="6"/>
  <c r="F469" i="6"/>
  <c r="A470" i="6" s="1"/>
  <c r="F546" i="2"/>
  <c r="A547" i="2" s="1"/>
  <c r="B546" i="2"/>
  <c r="H546" i="2" s="1"/>
  <c r="G546" i="2"/>
  <c r="C546" i="2"/>
  <c r="D546" i="2"/>
  <c r="E546" i="2"/>
  <c r="I470" i="6" l="1"/>
  <c r="J470" i="6" s="1"/>
  <c r="F470" i="6"/>
  <c r="A471" i="6" s="1"/>
  <c r="B470" i="6"/>
  <c r="C470" i="6"/>
  <c r="D470" i="6"/>
  <c r="H470" i="6" s="1"/>
  <c r="K470" i="6"/>
  <c r="E470" i="6"/>
  <c r="G470" i="6" s="1"/>
  <c r="L470" i="6"/>
  <c r="C547" i="2"/>
  <c r="G547" i="2"/>
  <c r="B547" i="2"/>
  <c r="H547" i="2" s="1"/>
  <c r="E547" i="2"/>
  <c r="D547" i="2"/>
  <c r="F547" i="2"/>
  <c r="A548" i="2" s="1"/>
  <c r="I471" i="6" l="1"/>
  <c r="J471" i="6" s="1"/>
  <c r="B471" i="6"/>
  <c r="C471" i="6"/>
  <c r="E471" i="6"/>
  <c r="G471" i="6" s="1"/>
  <c r="K471" i="6"/>
  <c r="F471" i="6"/>
  <c r="A472" i="6" s="1"/>
  <c r="D471" i="6"/>
  <c r="H471" i="6" s="1"/>
  <c r="L471" i="6"/>
  <c r="F548" i="2"/>
  <c r="A549" i="2" s="1"/>
  <c r="G548" i="2"/>
  <c r="B548" i="2"/>
  <c r="H548" i="2" s="1"/>
  <c r="C548" i="2"/>
  <c r="D548" i="2"/>
  <c r="E548" i="2"/>
  <c r="I472" i="6" l="1"/>
  <c r="J472" i="6" s="1"/>
  <c r="C472" i="6"/>
  <c r="F472" i="6"/>
  <c r="A473" i="6" s="1"/>
  <c r="B472" i="6"/>
  <c r="D472" i="6"/>
  <c r="H472" i="6" s="1"/>
  <c r="L472" i="6"/>
  <c r="E472" i="6"/>
  <c r="G472" i="6" s="1"/>
  <c r="K472" i="6"/>
  <c r="G549" i="2"/>
  <c r="F549" i="2"/>
  <c r="A550" i="2" s="1"/>
  <c r="D549" i="2"/>
  <c r="C549" i="2"/>
  <c r="B549" i="2"/>
  <c r="H549" i="2" s="1"/>
  <c r="E549" i="2"/>
  <c r="I473" i="6" l="1"/>
  <c r="J473" i="6" s="1"/>
  <c r="D473" i="6"/>
  <c r="H473" i="6" s="1"/>
  <c r="K473" i="6"/>
  <c r="E473" i="6"/>
  <c r="G473" i="6" s="1"/>
  <c r="F473" i="6"/>
  <c r="A474" i="6" s="1"/>
  <c r="B473" i="6"/>
  <c r="C473" i="6"/>
  <c r="L473" i="6"/>
  <c r="G550" i="2"/>
  <c r="E550" i="2"/>
  <c r="F550" i="2"/>
  <c r="A551" i="2" s="1"/>
  <c r="C550" i="2"/>
  <c r="D550" i="2"/>
  <c r="B550" i="2"/>
  <c r="H550" i="2" s="1"/>
  <c r="I474" i="6" l="1"/>
  <c r="J474" i="6" s="1"/>
  <c r="B474" i="6"/>
  <c r="C474" i="6"/>
  <c r="D474" i="6"/>
  <c r="H474" i="6" s="1"/>
  <c r="E474" i="6"/>
  <c r="G474" i="6" s="1"/>
  <c r="L474" i="6"/>
  <c r="K474" i="6"/>
  <c r="F474" i="6"/>
  <c r="A475" i="6" s="1"/>
  <c r="B551" i="2"/>
  <c r="H551" i="2" s="1"/>
  <c r="G551" i="2"/>
  <c r="F551" i="2"/>
  <c r="A552" i="2" s="1"/>
  <c r="C551" i="2"/>
  <c r="E551" i="2"/>
  <c r="D551" i="2"/>
  <c r="I475" i="6" l="1"/>
  <c r="J475" i="6" s="1"/>
  <c r="F475" i="6"/>
  <c r="A476" i="6" s="1"/>
  <c r="L475" i="6"/>
  <c r="C475" i="6"/>
  <c r="E475" i="6"/>
  <c r="G475" i="6" s="1"/>
  <c r="B475" i="6"/>
  <c r="K475" i="6"/>
  <c r="D475" i="6"/>
  <c r="H475" i="6" s="1"/>
  <c r="G552" i="2"/>
  <c r="F552" i="2"/>
  <c r="A553" i="2" s="1"/>
  <c r="C552" i="2"/>
  <c r="B552" i="2"/>
  <c r="H552" i="2" s="1"/>
  <c r="E552" i="2"/>
  <c r="D552" i="2"/>
  <c r="I476" i="6" l="1"/>
  <c r="J476" i="6" s="1"/>
  <c r="B476" i="6"/>
  <c r="L476" i="6"/>
  <c r="C476" i="6"/>
  <c r="E476" i="6"/>
  <c r="G476" i="6" s="1"/>
  <c r="D476" i="6"/>
  <c r="H476" i="6" s="1"/>
  <c r="F476" i="6"/>
  <c r="A477" i="6" s="1"/>
  <c r="K476" i="6"/>
  <c r="F553" i="2"/>
  <c r="A554" i="2" s="1"/>
  <c r="E553" i="2"/>
  <c r="D553" i="2"/>
  <c r="G553" i="2"/>
  <c r="B553" i="2"/>
  <c r="H553" i="2" s="1"/>
  <c r="C553" i="2"/>
  <c r="I477" i="6" l="1"/>
  <c r="J477" i="6" s="1"/>
  <c r="F477" i="6"/>
  <c r="A478" i="6" s="1"/>
  <c r="C477" i="6"/>
  <c r="D477" i="6"/>
  <c r="H477" i="6" s="1"/>
  <c r="B477" i="6"/>
  <c r="L477" i="6"/>
  <c r="E477" i="6"/>
  <c r="G477" i="6" s="1"/>
  <c r="K477" i="6"/>
  <c r="G554" i="2"/>
  <c r="C554" i="2"/>
  <c r="E554" i="2"/>
  <c r="D554" i="2"/>
  <c r="B554" i="2"/>
  <c r="H554" i="2" s="1"/>
  <c r="F554" i="2"/>
  <c r="A555" i="2" s="1"/>
  <c r="I478" i="6" l="1"/>
  <c r="J478" i="6" s="1"/>
  <c r="F478" i="6"/>
  <c r="A479" i="6" s="1"/>
  <c r="B478" i="6"/>
  <c r="D478" i="6"/>
  <c r="H478" i="6" s="1"/>
  <c r="C478" i="6"/>
  <c r="K478" i="6"/>
  <c r="E478" i="6"/>
  <c r="G478" i="6" s="1"/>
  <c r="L478" i="6"/>
  <c r="B555" i="2"/>
  <c r="H555" i="2" s="1"/>
  <c r="D555" i="2"/>
  <c r="E555" i="2"/>
  <c r="F555" i="2"/>
  <c r="A556" i="2" s="1"/>
  <c r="G555" i="2"/>
  <c r="C555" i="2"/>
  <c r="I479" i="6" l="1"/>
  <c r="J479" i="6" s="1"/>
  <c r="F479" i="6"/>
  <c r="A480" i="6" s="1"/>
  <c r="D479" i="6"/>
  <c r="H479" i="6" s="1"/>
  <c r="B479" i="6"/>
  <c r="E479" i="6"/>
  <c r="G479" i="6" s="1"/>
  <c r="K479" i="6"/>
  <c r="C479" i="6"/>
  <c r="L479" i="6"/>
  <c r="D556" i="2"/>
  <c r="C556" i="2"/>
  <c r="B556" i="2"/>
  <c r="H556" i="2" s="1"/>
  <c r="E556" i="2"/>
  <c r="F556" i="2"/>
  <c r="A557" i="2" s="1"/>
  <c r="G556" i="2"/>
  <c r="I480" i="6" l="1"/>
  <c r="J480" i="6" s="1"/>
  <c r="F480" i="6"/>
  <c r="A481" i="6" s="1"/>
  <c r="B480" i="6"/>
  <c r="D480" i="6"/>
  <c r="H480" i="6" s="1"/>
  <c r="K480" i="6"/>
  <c r="C480" i="6"/>
  <c r="L480" i="6"/>
  <c r="E480" i="6"/>
  <c r="G480" i="6" s="1"/>
  <c r="F557" i="2"/>
  <c r="A558" i="2" s="1"/>
  <c r="D557" i="2"/>
  <c r="E557" i="2"/>
  <c r="C557" i="2"/>
  <c r="B557" i="2"/>
  <c r="H557" i="2" s="1"/>
  <c r="G557" i="2"/>
  <c r="I481" i="6" l="1"/>
  <c r="J481" i="6" s="1"/>
  <c r="C481" i="6"/>
  <c r="D481" i="6"/>
  <c r="H481" i="6" s="1"/>
  <c r="B481" i="6"/>
  <c r="E481" i="6"/>
  <c r="G481" i="6" s="1"/>
  <c r="F481" i="6"/>
  <c r="A482" i="6" s="1"/>
  <c r="L481" i="6"/>
  <c r="K481" i="6"/>
  <c r="G558" i="2"/>
  <c r="D558" i="2"/>
  <c r="F558" i="2"/>
  <c r="A559" i="2" s="1"/>
  <c r="B558" i="2"/>
  <c r="H558" i="2" s="1"/>
  <c r="C558" i="2"/>
  <c r="E558" i="2"/>
  <c r="I482" i="6" l="1"/>
  <c r="J482" i="6" s="1"/>
  <c r="D482" i="6"/>
  <c r="H482" i="6" s="1"/>
  <c r="C482" i="6"/>
  <c r="B482" i="6"/>
  <c r="L482" i="6"/>
  <c r="E482" i="6"/>
  <c r="G482" i="6" s="1"/>
  <c r="F482" i="6"/>
  <c r="A483" i="6" s="1"/>
  <c r="K482" i="6"/>
  <c r="C559" i="2"/>
  <c r="B559" i="2"/>
  <c r="H559" i="2" s="1"/>
  <c r="G559" i="2"/>
  <c r="F559" i="2"/>
  <c r="A560" i="2" s="1"/>
  <c r="E559" i="2"/>
  <c r="D559" i="2"/>
  <c r="I483" i="6" l="1"/>
  <c r="J483" i="6" s="1"/>
  <c r="C483" i="6"/>
  <c r="D483" i="6"/>
  <c r="H483" i="6" s="1"/>
  <c r="F483" i="6"/>
  <c r="A484" i="6" s="1"/>
  <c r="K483" i="6"/>
  <c r="E483" i="6"/>
  <c r="G483" i="6" s="1"/>
  <c r="B483" i="6"/>
  <c r="L483" i="6"/>
  <c r="D560" i="2"/>
  <c r="C560" i="2"/>
  <c r="E560" i="2"/>
  <c r="B560" i="2"/>
  <c r="H560" i="2" s="1"/>
  <c r="G560" i="2"/>
  <c r="F560" i="2"/>
  <c r="A561" i="2" s="1"/>
  <c r="I484" i="6" l="1"/>
  <c r="J484" i="6" s="1"/>
  <c r="F484" i="6"/>
  <c r="A485" i="6" s="1"/>
  <c r="E484" i="6"/>
  <c r="G484" i="6" s="1"/>
  <c r="K484" i="6"/>
  <c r="B484" i="6"/>
  <c r="C484" i="6"/>
  <c r="D484" i="6"/>
  <c r="H484" i="6" s="1"/>
  <c r="L484" i="6"/>
  <c r="B561" i="2"/>
  <c r="H561" i="2" s="1"/>
  <c r="F561" i="2"/>
  <c r="A562" i="2" s="1"/>
  <c r="D561" i="2"/>
  <c r="C561" i="2"/>
  <c r="G561" i="2"/>
  <c r="E561" i="2"/>
  <c r="I485" i="6" l="1"/>
  <c r="J485" i="6" s="1"/>
  <c r="B485" i="6"/>
  <c r="E485" i="6"/>
  <c r="G485" i="6" s="1"/>
  <c r="K485" i="6"/>
  <c r="F485" i="6"/>
  <c r="A486" i="6" s="1"/>
  <c r="C485" i="6"/>
  <c r="D485" i="6"/>
  <c r="H485" i="6" s="1"/>
  <c r="L485" i="6"/>
  <c r="F562" i="2"/>
  <c r="A563" i="2" s="1"/>
  <c r="E562" i="2"/>
  <c r="C562" i="2"/>
  <c r="G562" i="2"/>
  <c r="B562" i="2"/>
  <c r="H562" i="2" s="1"/>
  <c r="D562" i="2"/>
  <c r="I486" i="6" l="1"/>
  <c r="J486" i="6" s="1"/>
  <c r="F486" i="6"/>
  <c r="A487" i="6" s="1"/>
  <c r="D486" i="6"/>
  <c r="H486" i="6" s="1"/>
  <c r="L486" i="6"/>
  <c r="C486" i="6"/>
  <c r="B486" i="6"/>
  <c r="E486" i="6"/>
  <c r="G486" i="6" s="1"/>
  <c r="K486" i="6"/>
  <c r="G563" i="2"/>
  <c r="E563" i="2"/>
  <c r="C563" i="2"/>
  <c r="B563" i="2"/>
  <c r="H563" i="2" s="1"/>
  <c r="F563" i="2"/>
  <c r="A564" i="2" s="1"/>
  <c r="D563" i="2"/>
  <c r="I487" i="6" l="1"/>
  <c r="J487" i="6" s="1"/>
  <c r="D487" i="6"/>
  <c r="H487" i="6" s="1"/>
  <c r="C487" i="6"/>
  <c r="F487" i="6"/>
  <c r="A488" i="6" s="1"/>
  <c r="B487" i="6"/>
  <c r="K487" i="6"/>
  <c r="E487" i="6"/>
  <c r="G487" i="6" s="1"/>
  <c r="L487" i="6"/>
  <c r="B564" i="2"/>
  <c r="H564" i="2" s="1"/>
  <c r="D564" i="2"/>
  <c r="C564" i="2"/>
  <c r="F564" i="2"/>
  <c r="A565" i="2" s="1"/>
  <c r="E564" i="2"/>
  <c r="G564" i="2"/>
  <c r="E488" i="6" l="1"/>
  <c r="G488" i="6" s="1"/>
  <c r="C488" i="6"/>
  <c r="B488" i="6"/>
  <c r="D488" i="6"/>
  <c r="H488" i="6" s="1"/>
  <c r="F488" i="6"/>
  <c r="A489" i="6" s="1"/>
  <c r="K488" i="6"/>
  <c r="I488" i="6"/>
  <c r="J488" i="6" s="1"/>
  <c r="L488" i="6"/>
  <c r="F565" i="2"/>
  <c r="A566" i="2" s="1"/>
  <c r="B565" i="2"/>
  <c r="H565" i="2" s="1"/>
  <c r="C565" i="2"/>
  <c r="D565" i="2"/>
  <c r="E565" i="2"/>
  <c r="G565" i="2"/>
  <c r="I489" i="6" l="1"/>
  <c r="J489" i="6" s="1"/>
  <c r="E489" i="6"/>
  <c r="G489" i="6" s="1"/>
  <c r="B489" i="6"/>
  <c r="L489" i="6"/>
  <c r="C489" i="6"/>
  <c r="F489" i="6"/>
  <c r="A490" i="6" s="1"/>
  <c r="D489" i="6"/>
  <c r="H489" i="6" s="1"/>
  <c r="K489" i="6"/>
  <c r="E566" i="2"/>
  <c r="G566" i="2"/>
  <c r="B566" i="2"/>
  <c r="H566" i="2" s="1"/>
  <c r="D566" i="2"/>
  <c r="F566" i="2"/>
  <c r="A567" i="2" s="1"/>
  <c r="C566" i="2"/>
  <c r="I490" i="6" l="1"/>
  <c r="J490" i="6" s="1"/>
  <c r="F490" i="6"/>
  <c r="A491" i="6" s="1"/>
  <c r="K490" i="6"/>
  <c r="C490" i="6"/>
  <c r="E490" i="6"/>
  <c r="G490" i="6" s="1"/>
  <c r="D490" i="6"/>
  <c r="H490" i="6" s="1"/>
  <c r="L490" i="6"/>
  <c r="B490" i="6"/>
  <c r="C567" i="2"/>
  <c r="G567" i="2"/>
  <c r="D567" i="2"/>
  <c r="B567" i="2"/>
  <c r="H567" i="2" s="1"/>
  <c r="E567" i="2"/>
  <c r="F567" i="2"/>
  <c r="A568" i="2" s="1"/>
  <c r="I491" i="6" l="1"/>
  <c r="J491" i="6" s="1"/>
  <c r="L491" i="6"/>
  <c r="D491" i="6"/>
  <c r="H491" i="6" s="1"/>
  <c r="F491" i="6"/>
  <c r="A492" i="6" s="1"/>
  <c r="C491" i="6"/>
  <c r="E491" i="6"/>
  <c r="G491" i="6" s="1"/>
  <c r="B491" i="6"/>
  <c r="K491" i="6"/>
  <c r="G568" i="2"/>
  <c r="E568" i="2"/>
  <c r="D568" i="2"/>
  <c r="F568" i="2"/>
  <c r="A569" i="2" s="1"/>
  <c r="B568" i="2"/>
  <c r="H568" i="2" s="1"/>
  <c r="C568" i="2"/>
  <c r="I492" i="6" l="1"/>
  <c r="J492" i="6" s="1"/>
  <c r="F492" i="6"/>
  <c r="A493" i="6" s="1"/>
  <c r="L492" i="6"/>
  <c r="C492" i="6"/>
  <c r="D492" i="6"/>
  <c r="H492" i="6" s="1"/>
  <c r="E492" i="6"/>
  <c r="G492" i="6" s="1"/>
  <c r="B492" i="6"/>
  <c r="K492" i="6"/>
  <c r="F569" i="2"/>
  <c r="A570" i="2" s="1"/>
  <c r="G569" i="2"/>
  <c r="B569" i="2"/>
  <c r="H569" i="2" s="1"/>
  <c r="E569" i="2"/>
  <c r="D569" i="2"/>
  <c r="C569" i="2"/>
  <c r="I493" i="6" l="1"/>
  <c r="J493" i="6" s="1"/>
  <c r="B493" i="6"/>
  <c r="C493" i="6"/>
  <c r="D493" i="6"/>
  <c r="H493" i="6" s="1"/>
  <c r="E493" i="6"/>
  <c r="G493" i="6" s="1"/>
  <c r="K493" i="6"/>
  <c r="F493" i="6"/>
  <c r="A494" i="6" s="1"/>
  <c r="L493" i="6"/>
  <c r="B570" i="2"/>
  <c r="H570" i="2" s="1"/>
  <c r="D570" i="2"/>
  <c r="G570" i="2"/>
  <c r="C570" i="2"/>
  <c r="F570" i="2"/>
  <c r="A571" i="2" s="1"/>
  <c r="E570" i="2"/>
  <c r="I494" i="6" l="1"/>
  <c r="J494" i="6" s="1"/>
  <c r="C494" i="6"/>
  <c r="D494" i="6"/>
  <c r="H494" i="6" s="1"/>
  <c r="B494" i="6"/>
  <c r="E494" i="6"/>
  <c r="G494" i="6" s="1"/>
  <c r="F494" i="6"/>
  <c r="A495" i="6" s="1"/>
  <c r="L494" i="6"/>
  <c r="K494" i="6"/>
  <c r="F571" i="2"/>
  <c r="A572" i="2" s="1"/>
  <c r="C571" i="2"/>
  <c r="G571" i="2"/>
  <c r="E571" i="2"/>
  <c r="D571" i="2"/>
  <c r="B571" i="2"/>
  <c r="H571" i="2" s="1"/>
  <c r="I495" i="6" l="1"/>
  <c r="J495" i="6" s="1"/>
  <c r="F495" i="6"/>
  <c r="A496" i="6" s="1"/>
  <c r="E495" i="6"/>
  <c r="G495" i="6" s="1"/>
  <c r="C495" i="6"/>
  <c r="B495" i="6"/>
  <c r="D495" i="6"/>
  <c r="H495" i="6" s="1"/>
  <c r="K495" i="6"/>
  <c r="L495" i="6"/>
  <c r="B572" i="2"/>
  <c r="H572" i="2" s="1"/>
  <c r="D572" i="2"/>
  <c r="G572" i="2"/>
  <c r="E572" i="2"/>
  <c r="F572" i="2"/>
  <c r="A573" i="2" s="1"/>
  <c r="C572" i="2"/>
  <c r="I496" i="6" l="1"/>
  <c r="J496" i="6" s="1"/>
  <c r="D496" i="6"/>
  <c r="H496" i="6" s="1"/>
  <c r="B496" i="6"/>
  <c r="K496" i="6"/>
  <c r="E496" i="6"/>
  <c r="G496" i="6" s="1"/>
  <c r="C496" i="6"/>
  <c r="F496" i="6"/>
  <c r="A497" i="6" s="1"/>
  <c r="L496" i="6"/>
  <c r="C573" i="2"/>
  <c r="D573" i="2"/>
  <c r="G573" i="2"/>
  <c r="B573" i="2"/>
  <c r="H573" i="2" s="1"/>
  <c r="E573" i="2"/>
  <c r="F573" i="2"/>
  <c r="A574" i="2" s="1"/>
  <c r="I497" i="6" l="1"/>
  <c r="J497" i="6" s="1"/>
  <c r="B497" i="6"/>
  <c r="F497" i="6"/>
  <c r="A498" i="6" s="1"/>
  <c r="K497" i="6"/>
  <c r="C497" i="6"/>
  <c r="E497" i="6"/>
  <c r="G497" i="6" s="1"/>
  <c r="D497" i="6"/>
  <c r="H497" i="6" s="1"/>
  <c r="L497" i="6"/>
  <c r="B574" i="2"/>
  <c r="H574" i="2" s="1"/>
  <c r="C574" i="2"/>
  <c r="F574" i="2"/>
  <c r="A575" i="2" s="1"/>
  <c r="E574" i="2"/>
  <c r="D574" i="2"/>
  <c r="G574" i="2"/>
  <c r="I498" i="6" l="1"/>
  <c r="J498" i="6" s="1"/>
  <c r="B498" i="6"/>
  <c r="D498" i="6"/>
  <c r="H498" i="6" s="1"/>
  <c r="E498" i="6"/>
  <c r="G498" i="6" s="1"/>
  <c r="K498" i="6"/>
  <c r="F498" i="6"/>
  <c r="A499" i="6" s="1"/>
  <c r="C498" i="6"/>
  <c r="L498" i="6"/>
  <c r="B575" i="2"/>
  <c r="H575" i="2" s="1"/>
  <c r="G575" i="2"/>
  <c r="E575" i="2"/>
  <c r="F575" i="2"/>
  <c r="A576" i="2" s="1"/>
  <c r="D575" i="2"/>
  <c r="C575" i="2"/>
  <c r="I499" i="6" l="1"/>
  <c r="J499" i="6" s="1"/>
  <c r="C499" i="6"/>
  <c r="D499" i="6"/>
  <c r="H499" i="6" s="1"/>
  <c r="B499" i="6"/>
  <c r="F499" i="6"/>
  <c r="A500" i="6" s="1"/>
  <c r="L499" i="6"/>
  <c r="E499" i="6"/>
  <c r="G499" i="6" s="1"/>
  <c r="K499" i="6"/>
  <c r="B576" i="2"/>
  <c r="H576" i="2" s="1"/>
  <c r="C576" i="2"/>
  <c r="D576" i="2"/>
  <c r="G576" i="2"/>
  <c r="F576" i="2"/>
  <c r="A577" i="2" s="1"/>
  <c r="E576" i="2"/>
  <c r="I500" i="6" l="1"/>
  <c r="J500" i="6" s="1"/>
  <c r="E500" i="6"/>
  <c r="G500" i="6" s="1"/>
  <c r="F500" i="6"/>
  <c r="A501" i="6" s="1"/>
  <c r="K500" i="6"/>
  <c r="C500" i="6"/>
  <c r="D500" i="6"/>
  <c r="H500" i="6" s="1"/>
  <c r="B500" i="6"/>
  <c r="L500" i="6"/>
  <c r="B577" i="2"/>
  <c r="H577" i="2" s="1"/>
  <c r="E577" i="2"/>
  <c r="G577" i="2"/>
  <c r="C577" i="2"/>
  <c r="F577" i="2"/>
  <c r="A578" i="2" s="1"/>
  <c r="D577" i="2"/>
  <c r="I501" i="6" l="1"/>
  <c r="J501" i="6" s="1"/>
  <c r="D501" i="6"/>
  <c r="H501" i="6" s="1"/>
  <c r="E501" i="6"/>
  <c r="G501" i="6" s="1"/>
  <c r="L501" i="6"/>
  <c r="F501" i="6"/>
  <c r="A502" i="6" s="1"/>
  <c r="C501" i="6"/>
  <c r="B501" i="6"/>
  <c r="K501" i="6"/>
  <c r="D578" i="2"/>
  <c r="F578" i="2"/>
  <c r="A579" i="2" s="1"/>
  <c r="C578" i="2"/>
  <c r="E578" i="2"/>
  <c r="G578" i="2"/>
  <c r="B578" i="2"/>
  <c r="H578" i="2" s="1"/>
  <c r="I502" i="6" l="1"/>
  <c r="J502" i="6" s="1"/>
  <c r="C502" i="6"/>
  <c r="L502" i="6"/>
  <c r="E502" i="6"/>
  <c r="G502" i="6" s="1"/>
  <c r="F502" i="6"/>
  <c r="A503" i="6" s="1"/>
  <c r="B502" i="6"/>
  <c r="K502" i="6"/>
  <c r="D502" i="6"/>
  <c r="H502" i="6" s="1"/>
  <c r="F579" i="2"/>
  <c r="A580" i="2" s="1"/>
  <c r="B579" i="2"/>
  <c r="H579" i="2" s="1"/>
  <c r="G579" i="2"/>
  <c r="C579" i="2"/>
  <c r="E579" i="2"/>
  <c r="D579" i="2"/>
  <c r="I503" i="6" l="1"/>
  <c r="J503" i="6" s="1"/>
  <c r="C503" i="6"/>
  <c r="D503" i="6"/>
  <c r="H503" i="6" s="1"/>
  <c r="B503" i="6"/>
  <c r="E503" i="6"/>
  <c r="G503" i="6" s="1"/>
  <c r="F503" i="6"/>
  <c r="A504" i="6" s="1"/>
  <c r="L503" i="6"/>
  <c r="K503" i="6"/>
  <c r="D580" i="2"/>
  <c r="B580" i="2"/>
  <c r="H580" i="2" s="1"/>
  <c r="C580" i="2"/>
  <c r="G580" i="2"/>
  <c r="F580" i="2"/>
  <c r="A581" i="2" s="1"/>
  <c r="E580" i="2"/>
  <c r="I504" i="6" l="1"/>
  <c r="J504" i="6" s="1"/>
  <c r="F504" i="6"/>
  <c r="A505" i="6" s="1"/>
  <c r="C504" i="6"/>
  <c r="L504" i="6"/>
  <c r="E504" i="6"/>
  <c r="G504" i="6" s="1"/>
  <c r="B504" i="6"/>
  <c r="K504" i="6"/>
  <c r="D504" i="6"/>
  <c r="H504" i="6" s="1"/>
  <c r="B581" i="2"/>
  <c r="H581" i="2" s="1"/>
  <c r="F581" i="2"/>
  <c r="A582" i="2" s="1"/>
  <c r="D581" i="2"/>
  <c r="C581" i="2"/>
  <c r="G581" i="2"/>
  <c r="E581" i="2"/>
  <c r="I505" i="6" l="1"/>
  <c r="J505" i="6" s="1"/>
  <c r="L505" i="6"/>
  <c r="F505" i="6"/>
  <c r="A506" i="6" s="1"/>
  <c r="E505" i="6"/>
  <c r="G505" i="6" s="1"/>
  <c r="D505" i="6"/>
  <c r="H505" i="6" s="1"/>
  <c r="K505" i="6"/>
  <c r="C505" i="6"/>
  <c r="B505" i="6"/>
  <c r="G582" i="2"/>
  <c r="C582" i="2"/>
  <c r="E582" i="2"/>
  <c r="D582" i="2"/>
  <c r="B582" i="2"/>
  <c r="H582" i="2" s="1"/>
  <c r="F582" i="2"/>
  <c r="A583" i="2" s="1"/>
  <c r="I506" i="6" l="1"/>
  <c r="J506" i="6" s="1"/>
  <c r="C506" i="6"/>
  <c r="D506" i="6"/>
  <c r="H506" i="6" s="1"/>
  <c r="E506" i="6"/>
  <c r="G506" i="6" s="1"/>
  <c r="K506" i="6"/>
  <c r="L506" i="6"/>
  <c r="F506" i="6"/>
  <c r="A507" i="6" s="1"/>
  <c r="B506" i="6"/>
  <c r="B583" i="2"/>
  <c r="H583" i="2" s="1"/>
  <c r="D583" i="2"/>
  <c r="C583" i="2"/>
  <c r="E583" i="2"/>
  <c r="G583" i="2"/>
  <c r="F583" i="2"/>
  <c r="A584" i="2" s="1"/>
  <c r="I507" i="6" l="1"/>
  <c r="J507" i="6" s="1"/>
  <c r="E507" i="6"/>
  <c r="G507" i="6" s="1"/>
  <c r="B507" i="6"/>
  <c r="C507" i="6"/>
  <c r="F507" i="6"/>
  <c r="A508" i="6" s="1"/>
  <c r="L507" i="6"/>
  <c r="D507" i="6"/>
  <c r="H507" i="6" s="1"/>
  <c r="K507" i="6"/>
  <c r="G584" i="2"/>
  <c r="E584" i="2"/>
  <c r="C584" i="2"/>
  <c r="F584" i="2"/>
  <c r="A585" i="2" s="1"/>
  <c r="D584" i="2"/>
  <c r="B584" i="2"/>
  <c r="H584" i="2" s="1"/>
  <c r="I508" i="6" l="1"/>
  <c r="J508" i="6" s="1"/>
  <c r="E508" i="6"/>
  <c r="G508" i="6" s="1"/>
  <c r="K508" i="6"/>
  <c r="D508" i="6"/>
  <c r="H508" i="6" s="1"/>
  <c r="L508" i="6"/>
  <c r="F508" i="6"/>
  <c r="A509" i="6" s="1"/>
  <c r="C508" i="6"/>
  <c r="B508" i="6"/>
  <c r="C585" i="2"/>
  <c r="E585" i="2"/>
  <c r="G585" i="2"/>
  <c r="F585" i="2"/>
  <c r="A586" i="2" s="1"/>
  <c r="B585" i="2"/>
  <c r="H585" i="2" s="1"/>
  <c r="D585" i="2"/>
  <c r="I509" i="6" l="1"/>
  <c r="J509" i="6" s="1"/>
  <c r="D509" i="6"/>
  <c r="H509" i="6" s="1"/>
  <c r="B509" i="6"/>
  <c r="F509" i="6"/>
  <c r="A510" i="6" s="1"/>
  <c r="E509" i="6"/>
  <c r="G509" i="6" s="1"/>
  <c r="C509" i="6"/>
  <c r="L509" i="6"/>
  <c r="K509" i="6"/>
  <c r="E586" i="2"/>
  <c r="G586" i="2"/>
  <c r="B586" i="2"/>
  <c r="H586" i="2" s="1"/>
  <c r="C586" i="2"/>
  <c r="D586" i="2"/>
  <c r="F586" i="2"/>
  <c r="A587" i="2" s="1"/>
  <c r="I510" i="6" l="1"/>
  <c r="J510" i="6" s="1"/>
  <c r="E510" i="6"/>
  <c r="G510" i="6" s="1"/>
  <c r="C510" i="6"/>
  <c r="B510" i="6"/>
  <c r="D510" i="6"/>
  <c r="H510" i="6" s="1"/>
  <c r="L510" i="6"/>
  <c r="F510" i="6"/>
  <c r="A511" i="6" s="1"/>
  <c r="K510" i="6"/>
  <c r="F587" i="2"/>
  <c r="A588" i="2" s="1"/>
  <c r="G587" i="2"/>
  <c r="E587" i="2"/>
  <c r="D587" i="2"/>
  <c r="C587" i="2"/>
  <c r="B587" i="2"/>
  <c r="H587" i="2" s="1"/>
  <c r="I511" i="6" l="1"/>
  <c r="J511" i="6" s="1"/>
  <c r="B511" i="6"/>
  <c r="F511" i="6"/>
  <c r="A512" i="6" s="1"/>
  <c r="L511" i="6"/>
  <c r="K511" i="6"/>
  <c r="E511" i="6"/>
  <c r="G511" i="6" s="1"/>
  <c r="D511" i="6"/>
  <c r="H511" i="6" s="1"/>
  <c r="C511" i="6"/>
  <c r="D588" i="2"/>
  <c r="B588" i="2"/>
  <c r="H588" i="2" s="1"/>
  <c r="C588" i="2"/>
  <c r="F588" i="2"/>
  <c r="A589" i="2" s="1"/>
  <c r="E588" i="2"/>
  <c r="G588" i="2"/>
  <c r="I512" i="6" l="1"/>
  <c r="J512" i="6" s="1"/>
  <c r="E512" i="6"/>
  <c r="G512" i="6" s="1"/>
  <c r="B512" i="6"/>
  <c r="D512" i="6"/>
  <c r="H512" i="6" s="1"/>
  <c r="F512" i="6"/>
  <c r="A513" i="6" s="1"/>
  <c r="C512" i="6"/>
  <c r="L512" i="6"/>
  <c r="K512" i="6"/>
  <c r="F589" i="2"/>
  <c r="A590" i="2" s="1"/>
  <c r="E589" i="2"/>
  <c r="D589" i="2"/>
  <c r="G589" i="2"/>
  <c r="C589" i="2"/>
  <c r="B589" i="2"/>
  <c r="H589" i="2" s="1"/>
  <c r="I513" i="6" l="1"/>
  <c r="J513" i="6" s="1"/>
  <c r="D513" i="6"/>
  <c r="H513" i="6" s="1"/>
  <c r="E513" i="6"/>
  <c r="G513" i="6" s="1"/>
  <c r="C513" i="6"/>
  <c r="F513" i="6"/>
  <c r="A514" i="6" s="1"/>
  <c r="B513" i="6"/>
  <c r="K513" i="6"/>
  <c r="L513" i="6"/>
  <c r="E590" i="2"/>
  <c r="D590" i="2"/>
  <c r="F590" i="2"/>
  <c r="A591" i="2" s="1"/>
  <c r="C590" i="2"/>
  <c r="B590" i="2"/>
  <c r="H590" i="2" s="1"/>
  <c r="G590" i="2"/>
  <c r="I514" i="6" l="1"/>
  <c r="J514" i="6" s="1"/>
  <c r="D514" i="6"/>
  <c r="H514" i="6" s="1"/>
  <c r="C514" i="6"/>
  <c r="F514" i="6"/>
  <c r="A515" i="6" s="1"/>
  <c r="E514" i="6"/>
  <c r="G514" i="6" s="1"/>
  <c r="K514" i="6"/>
  <c r="L514" i="6"/>
  <c r="B514" i="6"/>
  <c r="B591" i="2"/>
  <c r="H591" i="2" s="1"/>
  <c r="C591" i="2"/>
  <c r="G591" i="2"/>
  <c r="F591" i="2"/>
  <c r="A592" i="2" s="1"/>
  <c r="E591" i="2"/>
  <c r="D591" i="2"/>
  <c r="I515" i="6" l="1"/>
  <c r="J515" i="6" s="1"/>
  <c r="F515" i="6"/>
  <c r="A516" i="6" s="1"/>
  <c r="B515" i="6"/>
  <c r="E515" i="6"/>
  <c r="G515" i="6" s="1"/>
  <c r="D515" i="6"/>
  <c r="H515" i="6" s="1"/>
  <c r="C515" i="6"/>
  <c r="L515" i="6"/>
  <c r="K515" i="6"/>
  <c r="E592" i="2"/>
  <c r="D592" i="2"/>
  <c r="F592" i="2"/>
  <c r="A593" i="2" s="1"/>
  <c r="B592" i="2"/>
  <c r="H592" i="2" s="1"/>
  <c r="C592" i="2"/>
  <c r="G592" i="2"/>
  <c r="I516" i="6" l="1"/>
  <c r="J516" i="6" s="1"/>
  <c r="C516" i="6"/>
  <c r="B516" i="6"/>
  <c r="F516" i="6"/>
  <c r="A517" i="6" s="1"/>
  <c r="E516" i="6"/>
  <c r="G516" i="6" s="1"/>
  <c r="K516" i="6"/>
  <c r="D516" i="6"/>
  <c r="H516" i="6" s="1"/>
  <c r="L516" i="6"/>
  <c r="C593" i="2"/>
  <c r="B593" i="2"/>
  <c r="H593" i="2" s="1"/>
  <c r="G593" i="2"/>
  <c r="D593" i="2"/>
  <c r="F593" i="2"/>
  <c r="A594" i="2" s="1"/>
  <c r="E593" i="2"/>
  <c r="I517" i="6" l="1"/>
  <c r="J517" i="6" s="1"/>
  <c r="E517" i="6"/>
  <c r="G517" i="6" s="1"/>
  <c r="D517" i="6"/>
  <c r="H517" i="6" s="1"/>
  <c r="C517" i="6"/>
  <c r="L517" i="6"/>
  <c r="F517" i="6"/>
  <c r="A518" i="6" s="1"/>
  <c r="B517" i="6"/>
  <c r="K517" i="6"/>
  <c r="D594" i="2"/>
  <c r="C594" i="2"/>
  <c r="E594" i="2"/>
  <c r="B594" i="2"/>
  <c r="H594" i="2" s="1"/>
  <c r="F594" i="2"/>
  <c r="A595" i="2" s="1"/>
  <c r="G594" i="2"/>
  <c r="I518" i="6" l="1"/>
  <c r="J518" i="6" s="1"/>
  <c r="D518" i="6"/>
  <c r="H518" i="6" s="1"/>
  <c r="C518" i="6"/>
  <c r="K518" i="6"/>
  <c r="E518" i="6"/>
  <c r="G518" i="6" s="1"/>
  <c r="F518" i="6"/>
  <c r="A519" i="6" s="1"/>
  <c r="B518" i="6"/>
  <c r="L518" i="6"/>
  <c r="E595" i="2"/>
  <c r="B595" i="2"/>
  <c r="H595" i="2" s="1"/>
  <c r="D595" i="2"/>
  <c r="F595" i="2"/>
  <c r="A596" i="2" s="1"/>
  <c r="C595" i="2"/>
  <c r="G595" i="2"/>
  <c r="I519" i="6" l="1"/>
  <c r="J519" i="6" s="1"/>
  <c r="E519" i="6"/>
  <c r="G519" i="6" s="1"/>
  <c r="C519" i="6"/>
  <c r="L519" i="6"/>
  <c r="F519" i="6"/>
  <c r="A520" i="6" s="1"/>
  <c r="B519" i="6"/>
  <c r="K519" i="6"/>
  <c r="D519" i="6"/>
  <c r="H519" i="6" s="1"/>
  <c r="B596" i="2"/>
  <c r="H596" i="2" s="1"/>
  <c r="D596" i="2"/>
  <c r="G596" i="2"/>
  <c r="E596" i="2"/>
  <c r="C596" i="2"/>
  <c r="F596" i="2"/>
  <c r="A597" i="2" s="1"/>
  <c r="I520" i="6" l="1"/>
  <c r="J520" i="6" s="1"/>
  <c r="B520" i="6"/>
  <c r="D520" i="6"/>
  <c r="H520" i="6" s="1"/>
  <c r="C520" i="6"/>
  <c r="F520" i="6"/>
  <c r="A521" i="6" s="1"/>
  <c r="E520" i="6"/>
  <c r="G520" i="6" s="1"/>
  <c r="K520" i="6"/>
  <c r="L520" i="6"/>
  <c r="B597" i="2"/>
  <c r="H597" i="2" s="1"/>
  <c r="D597" i="2"/>
  <c r="C597" i="2"/>
  <c r="E597" i="2"/>
  <c r="F597" i="2"/>
  <c r="A598" i="2" s="1"/>
  <c r="G597" i="2"/>
  <c r="I521" i="6" l="1"/>
  <c r="J521" i="6" s="1"/>
  <c r="C521" i="6"/>
  <c r="D521" i="6"/>
  <c r="H521" i="6" s="1"/>
  <c r="B521" i="6"/>
  <c r="E521" i="6"/>
  <c r="G521" i="6" s="1"/>
  <c r="F521" i="6"/>
  <c r="A522" i="6" s="1"/>
  <c r="K521" i="6"/>
  <c r="L521" i="6"/>
  <c r="G598" i="2"/>
  <c r="C598" i="2"/>
  <c r="E598" i="2"/>
  <c r="D598" i="2"/>
  <c r="F598" i="2"/>
  <c r="A599" i="2" s="1"/>
  <c r="B598" i="2"/>
  <c r="H598" i="2" s="1"/>
  <c r="I522" i="6" l="1"/>
  <c r="J522" i="6" s="1"/>
  <c r="B522" i="6"/>
  <c r="E522" i="6"/>
  <c r="G522" i="6" s="1"/>
  <c r="D522" i="6"/>
  <c r="H522" i="6" s="1"/>
  <c r="K522" i="6"/>
  <c r="F522" i="6"/>
  <c r="A523" i="6" s="1"/>
  <c r="L522" i="6"/>
  <c r="C522" i="6"/>
  <c r="F599" i="2"/>
  <c r="A600" i="2" s="1"/>
  <c r="C599" i="2"/>
  <c r="B599" i="2"/>
  <c r="H599" i="2" s="1"/>
  <c r="D599" i="2"/>
  <c r="E599" i="2"/>
  <c r="G599" i="2"/>
  <c r="I523" i="6" l="1"/>
  <c r="J523" i="6" s="1"/>
  <c r="E523" i="6"/>
  <c r="G523" i="6" s="1"/>
  <c r="C523" i="6"/>
  <c r="D523" i="6"/>
  <c r="H523" i="6" s="1"/>
  <c r="B523" i="6"/>
  <c r="K523" i="6"/>
  <c r="F523" i="6"/>
  <c r="A524" i="6" s="1"/>
  <c r="L523" i="6"/>
  <c r="F600" i="2"/>
  <c r="A601" i="2" s="1"/>
  <c r="G600" i="2"/>
  <c r="C600" i="2"/>
  <c r="D600" i="2"/>
  <c r="E600" i="2"/>
  <c r="B600" i="2"/>
  <c r="H600" i="2" s="1"/>
  <c r="I524" i="6" l="1"/>
  <c r="J524" i="6" s="1"/>
  <c r="C524" i="6"/>
  <c r="D524" i="6"/>
  <c r="H524" i="6" s="1"/>
  <c r="B524" i="6"/>
  <c r="K524" i="6"/>
  <c r="E524" i="6"/>
  <c r="G524" i="6" s="1"/>
  <c r="F524" i="6"/>
  <c r="A525" i="6" s="1"/>
  <c r="L524" i="6"/>
  <c r="D601" i="2"/>
  <c r="C601" i="2"/>
  <c r="B601" i="2"/>
  <c r="H601" i="2" s="1"/>
  <c r="F601" i="2"/>
  <c r="A602" i="2" s="1"/>
  <c r="E601" i="2"/>
  <c r="G601" i="2"/>
  <c r="I525" i="6" l="1"/>
  <c r="J525" i="6" s="1"/>
  <c r="F525" i="6"/>
  <c r="A526" i="6" s="1"/>
  <c r="L525" i="6"/>
  <c r="E525" i="6"/>
  <c r="G525" i="6" s="1"/>
  <c r="C525" i="6"/>
  <c r="B525" i="6"/>
  <c r="D525" i="6"/>
  <c r="H525" i="6" s="1"/>
  <c r="K525" i="6"/>
  <c r="G602" i="2"/>
  <c r="E602" i="2"/>
  <c r="D602" i="2"/>
  <c r="B602" i="2"/>
  <c r="H602" i="2" s="1"/>
  <c r="C602" i="2"/>
  <c r="F602" i="2"/>
  <c r="A603" i="2" s="1"/>
  <c r="I526" i="6" l="1"/>
  <c r="J526" i="6" s="1"/>
  <c r="E526" i="6"/>
  <c r="G526" i="6" s="1"/>
  <c r="K526" i="6"/>
  <c r="D526" i="6"/>
  <c r="H526" i="6" s="1"/>
  <c r="C526" i="6"/>
  <c r="F526" i="6"/>
  <c r="A527" i="6" s="1"/>
  <c r="B526" i="6"/>
  <c r="L526" i="6"/>
  <c r="D603" i="2"/>
  <c r="G603" i="2"/>
  <c r="B603" i="2"/>
  <c r="H603" i="2" s="1"/>
  <c r="C603" i="2"/>
  <c r="F603" i="2"/>
  <c r="A604" i="2" s="1"/>
  <c r="E603" i="2"/>
  <c r="I527" i="6" l="1"/>
  <c r="J527" i="6" s="1"/>
  <c r="E527" i="6"/>
  <c r="G527" i="6" s="1"/>
  <c r="F527" i="6"/>
  <c r="A528" i="6" s="1"/>
  <c r="B527" i="6"/>
  <c r="D527" i="6"/>
  <c r="H527" i="6" s="1"/>
  <c r="C527" i="6"/>
  <c r="K527" i="6"/>
  <c r="L527" i="6"/>
  <c r="G604" i="2"/>
  <c r="C604" i="2"/>
  <c r="E604" i="2"/>
  <c r="D604" i="2"/>
  <c r="B604" i="2"/>
  <c r="H604" i="2" s="1"/>
  <c r="F604" i="2"/>
  <c r="A605" i="2" s="1"/>
  <c r="I528" i="6" l="1"/>
  <c r="J528" i="6" s="1"/>
  <c r="C528" i="6"/>
  <c r="B528" i="6"/>
  <c r="K528" i="6"/>
  <c r="E528" i="6"/>
  <c r="G528" i="6" s="1"/>
  <c r="L528" i="6"/>
  <c r="F528" i="6"/>
  <c r="A529" i="6" s="1"/>
  <c r="D528" i="6"/>
  <c r="H528" i="6" s="1"/>
  <c r="G605" i="2"/>
  <c r="F605" i="2"/>
  <c r="A606" i="2" s="1"/>
  <c r="B605" i="2"/>
  <c r="H605" i="2" s="1"/>
  <c r="E605" i="2"/>
  <c r="C605" i="2"/>
  <c r="D605" i="2"/>
  <c r="I529" i="6" l="1"/>
  <c r="J529" i="6" s="1"/>
  <c r="C529" i="6"/>
  <c r="F529" i="6"/>
  <c r="A530" i="6" s="1"/>
  <c r="B529" i="6"/>
  <c r="L529" i="6"/>
  <c r="E529" i="6"/>
  <c r="G529" i="6" s="1"/>
  <c r="D529" i="6"/>
  <c r="H529" i="6" s="1"/>
  <c r="K529" i="6"/>
  <c r="G606" i="2"/>
  <c r="C606" i="2"/>
  <c r="E606" i="2"/>
  <c r="B606" i="2"/>
  <c r="H606" i="2" s="1"/>
  <c r="D606" i="2"/>
  <c r="F606" i="2"/>
  <c r="A607" i="2" s="1"/>
  <c r="I530" i="6" l="1"/>
  <c r="J530" i="6" s="1"/>
  <c r="F530" i="6"/>
  <c r="A531" i="6" s="1"/>
  <c r="C530" i="6"/>
  <c r="L530" i="6"/>
  <c r="E530" i="6"/>
  <c r="G530" i="6" s="1"/>
  <c r="D530" i="6"/>
  <c r="H530" i="6" s="1"/>
  <c r="B530" i="6"/>
  <c r="K530" i="6"/>
  <c r="F607" i="2"/>
  <c r="A608" i="2" s="1"/>
  <c r="E607" i="2"/>
  <c r="C607" i="2"/>
  <c r="D607" i="2"/>
  <c r="G607" i="2"/>
  <c r="B607" i="2"/>
  <c r="H607" i="2" s="1"/>
  <c r="I531" i="6" l="1"/>
  <c r="J531" i="6" s="1"/>
  <c r="E531" i="6"/>
  <c r="G531" i="6" s="1"/>
  <c r="F531" i="6"/>
  <c r="A532" i="6" s="1"/>
  <c r="D531" i="6"/>
  <c r="H531" i="6" s="1"/>
  <c r="K531" i="6"/>
  <c r="B531" i="6"/>
  <c r="C531" i="6"/>
  <c r="L531" i="6"/>
  <c r="F608" i="2"/>
  <c r="A609" i="2" s="1"/>
  <c r="B608" i="2"/>
  <c r="H608" i="2" s="1"/>
  <c r="C608" i="2"/>
  <c r="E608" i="2"/>
  <c r="G608" i="2"/>
  <c r="D608" i="2"/>
  <c r="I532" i="6" l="1"/>
  <c r="J532" i="6" s="1"/>
  <c r="E532" i="6"/>
  <c r="G532" i="6" s="1"/>
  <c r="B532" i="6"/>
  <c r="F532" i="6"/>
  <c r="A533" i="6" s="1"/>
  <c r="L532" i="6"/>
  <c r="C532" i="6"/>
  <c r="K532" i="6"/>
  <c r="D532" i="6"/>
  <c r="H532" i="6" s="1"/>
  <c r="F609" i="2"/>
  <c r="A610" i="2" s="1"/>
  <c r="B609" i="2"/>
  <c r="H609" i="2" s="1"/>
  <c r="G609" i="2"/>
  <c r="C609" i="2"/>
  <c r="E609" i="2"/>
  <c r="D609" i="2"/>
  <c r="I533" i="6" l="1"/>
  <c r="J533" i="6" s="1"/>
  <c r="F533" i="6"/>
  <c r="A534" i="6" s="1"/>
  <c r="D533" i="6"/>
  <c r="H533" i="6" s="1"/>
  <c r="E533" i="6"/>
  <c r="G533" i="6" s="1"/>
  <c r="K533" i="6"/>
  <c r="C533" i="6"/>
  <c r="B533" i="6"/>
  <c r="L533" i="6"/>
  <c r="F610" i="2"/>
  <c r="A611" i="2" s="1"/>
  <c r="B610" i="2"/>
  <c r="H610" i="2" s="1"/>
  <c r="E610" i="2"/>
  <c r="C610" i="2"/>
  <c r="G610" i="2"/>
  <c r="D610" i="2"/>
  <c r="I534" i="6" l="1"/>
  <c r="J534" i="6" s="1"/>
  <c r="C534" i="6"/>
  <c r="E534" i="6"/>
  <c r="G534" i="6" s="1"/>
  <c r="D534" i="6"/>
  <c r="H534" i="6" s="1"/>
  <c r="B534" i="6"/>
  <c r="L534" i="6"/>
  <c r="F534" i="6"/>
  <c r="A535" i="6" s="1"/>
  <c r="K534" i="6"/>
  <c r="D611" i="2"/>
  <c r="C611" i="2"/>
  <c r="E611" i="2"/>
  <c r="G611" i="2"/>
  <c r="F611" i="2"/>
  <c r="A612" i="2" s="1"/>
  <c r="B611" i="2"/>
  <c r="H611" i="2" s="1"/>
  <c r="I535" i="6" l="1"/>
  <c r="J535" i="6" s="1"/>
  <c r="C535" i="6"/>
  <c r="B535" i="6"/>
  <c r="E535" i="6"/>
  <c r="G535" i="6" s="1"/>
  <c r="D535" i="6"/>
  <c r="H535" i="6" s="1"/>
  <c r="F535" i="6"/>
  <c r="A536" i="6" s="1"/>
  <c r="K535" i="6"/>
  <c r="L535" i="6"/>
  <c r="G612" i="2"/>
  <c r="D612" i="2"/>
  <c r="C612" i="2"/>
  <c r="F612" i="2"/>
  <c r="A613" i="2" s="1"/>
  <c r="E612" i="2"/>
  <c r="B612" i="2"/>
  <c r="H612" i="2" s="1"/>
  <c r="I536" i="6" l="1"/>
  <c r="J536" i="6" s="1"/>
  <c r="E536" i="6"/>
  <c r="G536" i="6" s="1"/>
  <c r="D536" i="6"/>
  <c r="H536" i="6" s="1"/>
  <c r="C536" i="6"/>
  <c r="F536" i="6"/>
  <c r="A537" i="6" s="1"/>
  <c r="B536" i="6"/>
  <c r="L536" i="6"/>
  <c r="K536" i="6"/>
  <c r="F613" i="2"/>
  <c r="A614" i="2" s="1"/>
  <c r="D613" i="2"/>
  <c r="B613" i="2"/>
  <c r="H613" i="2" s="1"/>
  <c r="E613" i="2"/>
  <c r="C613" i="2"/>
  <c r="G613" i="2"/>
  <c r="I537" i="6" l="1"/>
  <c r="J537" i="6" s="1"/>
  <c r="C537" i="6"/>
  <c r="B537" i="6"/>
  <c r="D537" i="6"/>
  <c r="H537" i="6" s="1"/>
  <c r="F537" i="6"/>
  <c r="A538" i="6" s="1"/>
  <c r="K537" i="6"/>
  <c r="E537" i="6"/>
  <c r="G537" i="6" s="1"/>
  <c r="L537" i="6"/>
  <c r="D614" i="2"/>
  <c r="G614" i="2"/>
  <c r="E614" i="2"/>
  <c r="C614" i="2"/>
  <c r="B614" i="2"/>
  <c r="H614" i="2" s="1"/>
  <c r="F614" i="2"/>
  <c r="A615" i="2" s="1"/>
  <c r="I538" i="6" l="1"/>
  <c r="J538" i="6" s="1"/>
  <c r="B538" i="6"/>
  <c r="D538" i="6"/>
  <c r="H538" i="6" s="1"/>
  <c r="K538" i="6"/>
  <c r="F538" i="6"/>
  <c r="A539" i="6" s="1"/>
  <c r="E538" i="6"/>
  <c r="G538" i="6" s="1"/>
  <c r="C538" i="6"/>
  <c r="L538" i="6"/>
  <c r="F615" i="2"/>
  <c r="A616" i="2" s="1"/>
  <c r="C615" i="2"/>
  <c r="G615" i="2"/>
  <c r="D615" i="2"/>
  <c r="B615" i="2"/>
  <c r="H615" i="2" s="1"/>
  <c r="E615" i="2"/>
  <c r="I539" i="6" l="1"/>
  <c r="J539" i="6" s="1"/>
  <c r="B539" i="6"/>
  <c r="F539" i="6"/>
  <c r="A540" i="6" s="1"/>
  <c r="D539" i="6"/>
  <c r="H539" i="6" s="1"/>
  <c r="C539" i="6"/>
  <c r="E539" i="6"/>
  <c r="G539" i="6" s="1"/>
  <c r="L539" i="6"/>
  <c r="K539" i="6"/>
  <c r="B616" i="2"/>
  <c r="H616" i="2" s="1"/>
  <c r="C616" i="2"/>
  <c r="G616" i="2"/>
  <c r="E616" i="2"/>
  <c r="F616" i="2"/>
  <c r="A617" i="2" s="1"/>
  <c r="D616" i="2"/>
  <c r="I540" i="6" l="1"/>
  <c r="J540" i="6" s="1"/>
  <c r="F540" i="6"/>
  <c r="A541" i="6" s="1"/>
  <c r="C540" i="6"/>
  <c r="B540" i="6"/>
  <c r="L540" i="6"/>
  <c r="D540" i="6"/>
  <c r="H540" i="6" s="1"/>
  <c r="E540" i="6"/>
  <c r="G540" i="6" s="1"/>
  <c r="K540" i="6"/>
  <c r="C617" i="2"/>
  <c r="D617" i="2"/>
  <c r="G617" i="2"/>
  <c r="E617" i="2"/>
  <c r="F617" i="2"/>
  <c r="A618" i="2" s="1"/>
  <c r="B617" i="2"/>
  <c r="H617" i="2" s="1"/>
  <c r="I541" i="6" l="1"/>
  <c r="J541" i="6" s="1"/>
  <c r="C541" i="6"/>
  <c r="F541" i="6"/>
  <c r="A542" i="6" s="1"/>
  <c r="D541" i="6"/>
  <c r="H541" i="6" s="1"/>
  <c r="B541" i="6"/>
  <c r="K541" i="6"/>
  <c r="E541" i="6"/>
  <c r="G541" i="6" s="1"/>
  <c r="L541" i="6"/>
  <c r="C618" i="2"/>
  <c r="D618" i="2"/>
  <c r="F618" i="2"/>
  <c r="A619" i="2" s="1"/>
  <c r="B618" i="2"/>
  <c r="H618" i="2" s="1"/>
  <c r="G618" i="2"/>
  <c r="E618" i="2"/>
  <c r="I542" i="6" l="1"/>
  <c r="J542" i="6" s="1"/>
  <c r="E542" i="6"/>
  <c r="G542" i="6" s="1"/>
  <c r="L542" i="6"/>
  <c r="D542" i="6"/>
  <c r="H542" i="6" s="1"/>
  <c r="F542" i="6"/>
  <c r="A543" i="6" s="1"/>
  <c r="B542" i="6"/>
  <c r="C542" i="6"/>
  <c r="K542" i="6"/>
  <c r="D619" i="2"/>
  <c r="B619" i="2"/>
  <c r="H619" i="2" s="1"/>
  <c r="G619" i="2"/>
  <c r="E619" i="2"/>
  <c r="C619" i="2"/>
  <c r="F619" i="2"/>
  <c r="A620" i="2" s="1"/>
  <c r="I543" i="6" l="1"/>
  <c r="J543" i="6" s="1"/>
  <c r="F543" i="6"/>
  <c r="A544" i="6" s="1"/>
  <c r="B543" i="6"/>
  <c r="D543" i="6"/>
  <c r="H543" i="6" s="1"/>
  <c r="E543" i="6"/>
  <c r="G543" i="6" s="1"/>
  <c r="K543" i="6"/>
  <c r="C543" i="6"/>
  <c r="L543" i="6"/>
  <c r="C620" i="2"/>
  <c r="E620" i="2"/>
  <c r="F620" i="2"/>
  <c r="A621" i="2" s="1"/>
  <c r="D620" i="2"/>
  <c r="G620" i="2"/>
  <c r="B620" i="2"/>
  <c r="H620" i="2" s="1"/>
  <c r="I544" i="6" l="1"/>
  <c r="J544" i="6" s="1"/>
  <c r="F544" i="6"/>
  <c r="A545" i="6" s="1"/>
  <c r="D544" i="6"/>
  <c r="H544" i="6" s="1"/>
  <c r="K544" i="6"/>
  <c r="C544" i="6"/>
  <c r="B544" i="6"/>
  <c r="E544" i="6"/>
  <c r="G544" i="6" s="1"/>
  <c r="L544" i="6"/>
  <c r="F621" i="2"/>
  <c r="A622" i="2" s="1"/>
  <c r="G621" i="2"/>
  <c r="C621" i="2"/>
  <c r="D621" i="2"/>
  <c r="E621" i="2"/>
  <c r="B621" i="2"/>
  <c r="H621" i="2" s="1"/>
  <c r="I545" i="6" l="1"/>
  <c r="J545" i="6" s="1"/>
  <c r="B545" i="6"/>
  <c r="D545" i="6"/>
  <c r="H545" i="6" s="1"/>
  <c r="L545" i="6"/>
  <c r="C545" i="6"/>
  <c r="E545" i="6"/>
  <c r="G545" i="6" s="1"/>
  <c r="K545" i="6"/>
  <c r="F545" i="6"/>
  <c r="A546" i="6" s="1"/>
  <c r="E622" i="2"/>
  <c r="G622" i="2"/>
  <c r="F622" i="2"/>
  <c r="A623" i="2" s="1"/>
  <c r="D622" i="2"/>
  <c r="C622" i="2"/>
  <c r="B622" i="2"/>
  <c r="H622" i="2" s="1"/>
  <c r="I546" i="6" l="1"/>
  <c r="J546" i="6" s="1"/>
  <c r="B546" i="6"/>
  <c r="D546" i="6"/>
  <c r="H546" i="6" s="1"/>
  <c r="E546" i="6"/>
  <c r="G546" i="6" s="1"/>
  <c r="L546" i="6"/>
  <c r="C546" i="6"/>
  <c r="F546" i="6"/>
  <c r="A547" i="6" s="1"/>
  <c r="K546" i="6"/>
  <c r="C623" i="2"/>
  <c r="F623" i="2"/>
  <c r="A624" i="2" s="1"/>
  <c r="E623" i="2"/>
  <c r="D623" i="2"/>
  <c r="G623" i="2"/>
  <c r="B623" i="2"/>
  <c r="H623" i="2" s="1"/>
  <c r="I547" i="6" l="1"/>
  <c r="J547" i="6" s="1"/>
  <c r="C547" i="6"/>
  <c r="E547" i="6"/>
  <c r="G547" i="6" s="1"/>
  <c r="F547" i="6"/>
  <c r="A548" i="6" s="1"/>
  <c r="B547" i="6"/>
  <c r="D547" i="6"/>
  <c r="H547" i="6" s="1"/>
  <c r="L547" i="6"/>
  <c r="K547" i="6"/>
  <c r="F624" i="2"/>
  <c r="A625" i="2" s="1"/>
  <c r="D624" i="2"/>
  <c r="C624" i="2"/>
  <c r="B624" i="2"/>
  <c r="H624" i="2" s="1"/>
  <c r="G624" i="2"/>
  <c r="E624" i="2"/>
  <c r="I548" i="6" l="1"/>
  <c r="J548" i="6" s="1"/>
  <c r="C548" i="6"/>
  <c r="E548" i="6"/>
  <c r="G548" i="6" s="1"/>
  <c r="F548" i="6"/>
  <c r="A549" i="6" s="1"/>
  <c r="D548" i="6"/>
  <c r="H548" i="6" s="1"/>
  <c r="K548" i="6"/>
  <c r="B548" i="6"/>
  <c r="L548" i="6"/>
  <c r="G625" i="2"/>
  <c r="C625" i="2"/>
  <c r="B625" i="2"/>
  <c r="H625" i="2" s="1"/>
  <c r="F625" i="2"/>
  <c r="A626" i="2" s="1"/>
  <c r="D625" i="2"/>
  <c r="E625" i="2"/>
  <c r="I549" i="6" l="1"/>
  <c r="J549" i="6" s="1"/>
  <c r="F549" i="6"/>
  <c r="A550" i="6" s="1"/>
  <c r="C549" i="6"/>
  <c r="B549" i="6"/>
  <c r="D549" i="6"/>
  <c r="H549" i="6" s="1"/>
  <c r="E549" i="6"/>
  <c r="G549" i="6" s="1"/>
  <c r="L549" i="6"/>
  <c r="K549" i="6"/>
  <c r="G626" i="2"/>
  <c r="C626" i="2"/>
  <c r="F626" i="2"/>
  <c r="A627" i="2" s="1"/>
  <c r="D626" i="2"/>
  <c r="E626" i="2"/>
  <c r="B626" i="2"/>
  <c r="H626" i="2" s="1"/>
  <c r="F550" i="6" l="1"/>
  <c r="A551" i="6" s="1"/>
  <c r="C550" i="6"/>
  <c r="B550" i="6"/>
  <c r="I550" i="6"/>
  <c r="J550" i="6" s="1"/>
  <c r="E550" i="6"/>
  <c r="G550" i="6" s="1"/>
  <c r="D550" i="6"/>
  <c r="H550" i="6" s="1"/>
  <c r="L550" i="6"/>
  <c r="K550" i="6"/>
  <c r="E627" i="2"/>
  <c r="B627" i="2"/>
  <c r="H627" i="2" s="1"/>
  <c r="D627" i="2"/>
  <c r="C627" i="2"/>
  <c r="F627" i="2"/>
  <c r="A628" i="2" s="1"/>
  <c r="G627" i="2"/>
  <c r="I551" i="6" l="1"/>
  <c r="J551" i="6" s="1"/>
  <c r="F551" i="6"/>
  <c r="A552" i="6" s="1"/>
  <c r="C551" i="6"/>
  <c r="E551" i="6"/>
  <c r="G551" i="6" s="1"/>
  <c r="D551" i="6"/>
  <c r="H551" i="6" s="1"/>
  <c r="L551" i="6"/>
  <c r="B551" i="6"/>
  <c r="K551" i="6"/>
  <c r="B628" i="2"/>
  <c r="H628" i="2" s="1"/>
  <c r="F628" i="2"/>
  <c r="A629" i="2" s="1"/>
  <c r="D628" i="2"/>
  <c r="C628" i="2"/>
  <c r="E628" i="2"/>
  <c r="G628" i="2"/>
  <c r="I552" i="6" l="1"/>
  <c r="J552" i="6" s="1"/>
  <c r="B552" i="6"/>
  <c r="D552" i="6"/>
  <c r="H552" i="6" s="1"/>
  <c r="E552" i="6"/>
  <c r="G552" i="6" s="1"/>
  <c r="C552" i="6"/>
  <c r="F552" i="6"/>
  <c r="A553" i="6" s="1"/>
  <c r="L552" i="6"/>
  <c r="K552" i="6"/>
  <c r="D629" i="2"/>
  <c r="C629" i="2"/>
  <c r="E629" i="2"/>
  <c r="B629" i="2"/>
  <c r="H629" i="2" s="1"/>
  <c r="F629" i="2"/>
  <c r="A630" i="2" s="1"/>
  <c r="G629" i="2"/>
  <c r="I553" i="6" l="1"/>
  <c r="J553" i="6" s="1"/>
  <c r="D553" i="6"/>
  <c r="H553" i="6" s="1"/>
  <c r="E553" i="6"/>
  <c r="G553" i="6" s="1"/>
  <c r="K553" i="6"/>
  <c r="C553" i="6"/>
  <c r="B553" i="6"/>
  <c r="F553" i="6"/>
  <c r="A554" i="6" s="1"/>
  <c r="L553" i="6"/>
  <c r="C630" i="2"/>
  <c r="G630" i="2"/>
  <c r="F630" i="2"/>
  <c r="A631" i="2" s="1"/>
  <c r="B630" i="2"/>
  <c r="H630" i="2" s="1"/>
  <c r="E630" i="2"/>
  <c r="D630" i="2"/>
  <c r="I554" i="6" l="1"/>
  <c r="J554" i="6" s="1"/>
  <c r="C554" i="6"/>
  <c r="B554" i="6"/>
  <c r="D554" i="6"/>
  <c r="H554" i="6" s="1"/>
  <c r="F554" i="6"/>
  <c r="A555" i="6" s="1"/>
  <c r="K554" i="6"/>
  <c r="E554" i="6"/>
  <c r="G554" i="6" s="1"/>
  <c r="L554" i="6"/>
  <c r="F631" i="2"/>
  <c r="A632" i="2" s="1"/>
  <c r="C631" i="2"/>
  <c r="B631" i="2"/>
  <c r="H631" i="2" s="1"/>
  <c r="G631" i="2"/>
  <c r="E631" i="2"/>
  <c r="D631" i="2"/>
  <c r="I555" i="6" l="1"/>
  <c r="J555" i="6" s="1"/>
  <c r="C555" i="6"/>
  <c r="F555" i="6"/>
  <c r="A556" i="6" s="1"/>
  <c r="D555" i="6"/>
  <c r="H555" i="6" s="1"/>
  <c r="L555" i="6"/>
  <c r="E555" i="6"/>
  <c r="G555" i="6" s="1"/>
  <c r="B555" i="6"/>
  <c r="K555" i="6"/>
  <c r="G632" i="2"/>
  <c r="D632" i="2"/>
  <c r="E632" i="2"/>
  <c r="B632" i="2"/>
  <c r="H632" i="2" s="1"/>
  <c r="C632" i="2"/>
  <c r="F632" i="2"/>
  <c r="A633" i="2" s="1"/>
  <c r="I556" i="6" l="1"/>
  <c r="J556" i="6" s="1"/>
  <c r="F556" i="6"/>
  <c r="A557" i="6" s="1"/>
  <c r="B556" i="6"/>
  <c r="D556" i="6"/>
  <c r="H556" i="6" s="1"/>
  <c r="E556" i="6"/>
  <c r="G556" i="6" s="1"/>
  <c r="L556" i="6"/>
  <c r="C556" i="6"/>
  <c r="K556" i="6"/>
  <c r="C633" i="2"/>
  <c r="F633" i="2"/>
  <c r="A634" i="2" s="1"/>
  <c r="E633" i="2"/>
  <c r="D633" i="2"/>
  <c r="G633" i="2"/>
  <c r="B633" i="2"/>
  <c r="H633" i="2" s="1"/>
  <c r="I557" i="6" l="1"/>
  <c r="J557" i="6" s="1"/>
  <c r="D557" i="6"/>
  <c r="H557" i="6" s="1"/>
  <c r="B557" i="6"/>
  <c r="K557" i="6"/>
  <c r="L557" i="6"/>
  <c r="C557" i="6"/>
  <c r="E557" i="6"/>
  <c r="G557" i="6" s="1"/>
  <c r="F557" i="6"/>
  <c r="A558" i="6" s="1"/>
  <c r="C634" i="2"/>
  <c r="E634" i="2"/>
  <c r="G634" i="2"/>
  <c r="B634" i="2"/>
  <c r="H634" i="2" s="1"/>
  <c r="D634" i="2"/>
  <c r="F634" i="2"/>
  <c r="A635" i="2" s="1"/>
  <c r="I558" i="6" l="1"/>
  <c r="J558" i="6" s="1"/>
  <c r="K558" i="6"/>
  <c r="E558" i="6"/>
  <c r="G558" i="6" s="1"/>
  <c r="B558" i="6"/>
  <c r="F558" i="6"/>
  <c r="A559" i="6" s="1"/>
  <c r="C558" i="6"/>
  <c r="D558" i="6"/>
  <c r="H558" i="6" s="1"/>
  <c r="L558" i="6"/>
  <c r="B635" i="2"/>
  <c r="H635" i="2" s="1"/>
  <c r="G635" i="2"/>
  <c r="D635" i="2"/>
  <c r="E635" i="2"/>
  <c r="C635" i="2"/>
  <c r="F635" i="2"/>
  <c r="A636" i="2" s="1"/>
  <c r="I559" i="6" l="1"/>
  <c r="J559" i="6" s="1"/>
  <c r="F559" i="6"/>
  <c r="A560" i="6" s="1"/>
  <c r="D559" i="6"/>
  <c r="H559" i="6" s="1"/>
  <c r="B559" i="6"/>
  <c r="C559" i="6"/>
  <c r="K559" i="6"/>
  <c r="E559" i="6"/>
  <c r="G559" i="6" s="1"/>
  <c r="L559" i="6"/>
  <c r="E636" i="2"/>
  <c r="D636" i="2"/>
  <c r="C636" i="2"/>
  <c r="G636" i="2"/>
  <c r="B636" i="2"/>
  <c r="H636" i="2" s="1"/>
  <c r="F636" i="2"/>
  <c r="A637" i="2" s="1"/>
  <c r="I560" i="6" l="1"/>
  <c r="J560" i="6" s="1"/>
  <c r="K560" i="6"/>
  <c r="B560" i="6"/>
  <c r="D560" i="6"/>
  <c r="H560" i="6" s="1"/>
  <c r="C560" i="6"/>
  <c r="L560" i="6"/>
  <c r="E560" i="6"/>
  <c r="G560" i="6" s="1"/>
  <c r="F560" i="6"/>
  <c r="A561" i="6" s="1"/>
  <c r="F637" i="2"/>
  <c r="A638" i="2" s="1"/>
  <c r="D637" i="2"/>
  <c r="C637" i="2"/>
  <c r="B637" i="2"/>
  <c r="H637" i="2" s="1"/>
  <c r="E637" i="2"/>
  <c r="G637" i="2"/>
  <c r="I561" i="6" l="1"/>
  <c r="J561" i="6" s="1"/>
  <c r="E561" i="6"/>
  <c r="G561" i="6" s="1"/>
  <c r="B561" i="6"/>
  <c r="D561" i="6"/>
  <c r="H561" i="6" s="1"/>
  <c r="F561" i="6"/>
  <c r="A562" i="6" s="1"/>
  <c r="C561" i="6"/>
  <c r="L561" i="6"/>
  <c r="K561" i="6"/>
  <c r="B638" i="2"/>
  <c r="H638" i="2" s="1"/>
  <c r="D638" i="2"/>
  <c r="G638" i="2"/>
  <c r="E638" i="2"/>
  <c r="F638" i="2"/>
  <c r="A639" i="2" s="1"/>
  <c r="C638" i="2"/>
  <c r="I562" i="6" l="1"/>
  <c r="J562" i="6" s="1"/>
  <c r="F562" i="6"/>
  <c r="A563" i="6" s="1"/>
  <c r="E562" i="6"/>
  <c r="G562" i="6" s="1"/>
  <c r="K562" i="6"/>
  <c r="L562" i="6"/>
  <c r="B562" i="6"/>
  <c r="D562" i="6"/>
  <c r="H562" i="6" s="1"/>
  <c r="C562" i="6"/>
  <c r="B639" i="2"/>
  <c r="H639" i="2" s="1"/>
  <c r="G639" i="2"/>
  <c r="D639" i="2"/>
  <c r="E639" i="2"/>
  <c r="C639" i="2"/>
  <c r="F639" i="2"/>
  <c r="A640" i="2" s="1"/>
  <c r="I563" i="6" l="1"/>
  <c r="J563" i="6" s="1"/>
  <c r="F563" i="6"/>
  <c r="A564" i="6" s="1"/>
  <c r="D563" i="6"/>
  <c r="H563" i="6" s="1"/>
  <c r="C563" i="6"/>
  <c r="L563" i="6"/>
  <c r="B563" i="6"/>
  <c r="K563" i="6"/>
  <c r="E563" i="6"/>
  <c r="G563" i="6" s="1"/>
  <c r="B640" i="2"/>
  <c r="H640" i="2" s="1"/>
  <c r="D640" i="2"/>
  <c r="C640" i="2"/>
  <c r="G640" i="2"/>
  <c r="F640" i="2"/>
  <c r="A641" i="2" s="1"/>
  <c r="E640" i="2"/>
  <c r="I564" i="6" l="1"/>
  <c r="J564" i="6" s="1"/>
  <c r="C564" i="6"/>
  <c r="B564" i="6"/>
  <c r="E564" i="6"/>
  <c r="G564" i="6" s="1"/>
  <c r="D564" i="6"/>
  <c r="H564" i="6" s="1"/>
  <c r="L564" i="6"/>
  <c r="F564" i="6"/>
  <c r="A565" i="6" s="1"/>
  <c r="K564" i="6"/>
  <c r="D641" i="2"/>
  <c r="B641" i="2"/>
  <c r="H641" i="2" s="1"/>
  <c r="F641" i="2"/>
  <c r="A642" i="2" s="1"/>
  <c r="C641" i="2"/>
  <c r="E641" i="2"/>
  <c r="G641" i="2"/>
  <c r="I565" i="6" l="1"/>
  <c r="J565" i="6" s="1"/>
  <c r="F565" i="6"/>
  <c r="A566" i="6" s="1"/>
  <c r="D565" i="6"/>
  <c r="H565" i="6" s="1"/>
  <c r="C565" i="6"/>
  <c r="E565" i="6"/>
  <c r="G565" i="6" s="1"/>
  <c r="B565" i="6"/>
  <c r="K565" i="6"/>
  <c r="L565" i="6"/>
  <c r="B642" i="2"/>
  <c r="H642" i="2" s="1"/>
  <c r="F642" i="2"/>
  <c r="A643" i="2" s="1"/>
  <c r="G642" i="2"/>
  <c r="C642" i="2"/>
  <c r="D642" i="2"/>
  <c r="E642" i="2"/>
  <c r="I566" i="6" l="1"/>
  <c r="J566" i="6" s="1"/>
  <c r="F566" i="6"/>
  <c r="A567" i="6" s="1"/>
  <c r="C566" i="6"/>
  <c r="L566" i="6"/>
  <c r="D566" i="6"/>
  <c r="H566" i="6" s="1"/>
  <c r="B566" i="6"/>
  <c r="E566" i="6"/>
  <c r="G566" i="6" s="1"/>
  <c r="K566" i="6"/>
  <c r="B643" i="2"/>
  <c r="H643" i="2" s="1"/>
  <c r="D643" i="2"/>
  <c r="G643" i="2"/>
  <c r="C643" i="2"/>
  <c r="F643" i="2"/>
  <c r="A644" i="2" s="1"/>
  <c r="E643" i="2"/>
  <c r="I567" i="6" l="1"/>
  <c r="J567" i="6" s="1"/>
  <c r="B567" i="6"/>
  <c r="K567" i="6"/>
  <c r="D567" i="6"/>
  <c r="H567" i="6" s="1"/>
  <c r="F567" i="6"/>
  <c r="A568" i="6" s="1"/>
  <c r="E567" i="6"/>
  <c r="G567" i="6" s="1"/>
  <c r="C567" i="6"/>
  <c r="L567" i="6"/>
  <c r="F644" i="2"/>
  <c r="A645" i="2" s="1"/>
  <c r="G644" i="2"/>
  <c r="D644" i="2"/>
  <c r="C644" i="2"/>
  <c r="B644" i="2"/>
  <c r="H644" i="2" s="1"/>
  <c r="E644" i="2"/>
  <c r="I568" i="6" l="1"/>
  <c r="J568" i="6" s="1"/>
  <c r="D568" i="6"/>
  <c r="H568" i="6" s="1"/>
  <c r="F568" i="6"/>
  <c r="A569" i="6" s="1"/>
  <c r="E568" i="6"/>
  <c r="G568" i="6" s="1"/>
  <c r="C568" i="6"/>
  <c r="L568" i="6"/>
  <c r="K568" i="6"/>
  <c r="B568" i="6"/>
  <c r="F645" i="2"/>
  <c r="A646" i="2" s="1"/>
  <c r="B645" i="2"/>
  <c r="H645" i="2" s="1"/>
  <c r="G645" i="2"/>
  <c r="E645" i="2"/>
  <c r="C645" i="2"/>
  <c r="D645" i="2"/>
  <c r="D569" i="6" l="1"/>
  <c r="H569" i="6" s="1"/>
  <c r="C569" i="6"/>
  <c r="F569" i="6"/>
  <c r="A570" i="6" s="1"/>
  <c r="I569" i="6"/>
  <c r="J569" i="6" s="1"/>
  <c r="B569" i="6"/>
  <c r="E569" i="6"/>
  <c r="G569" i="6" s="1"/>
  <c r="K569" i="6"/>
  <c r="L569" i="6"/>
  <c r="B646" i="2"/>
  <c r="H646" i="2" s="1"/>
  <c r="D646" i="2"/>
  <c r="E646" i="2"/>
  <c r="F646" i="2"/>
  <c r="A647" i="2" s="1"/>
  <c r="G646" i="2"/>
  <c r="C646" i="2"/>
  <c r="I570" i="6" l="1"/>
  <c r="J570" i="6" s="1"/>
  <c r="D570" i="6"/>
  <c r="H570" i="6" s="1"/>
  <c r="C570" i="6"/>
  <c r="F570" i="6"/>
  <c r="A571" i="6" s="1"/>
  <c r="E570" i="6"/>
  <c r="G570" i="6" s="1"/>
  <c r="L570" i="6"/>
  <c r="B570" i="6"/>
  <c r="K570" i="6"/>
  <c r="F647" i="2"/>
  <c r="A648" i="2" s="1"/>
  <c r="C647" i="2"/>
  <c r="D647" i="2"/>
  <c r="E647" i="2"/>
  <c r="B647" i="2"/>
  <c r="H647" i="2" s="1"/>
  <c r="G647" i="2"/>
  <c r="I571" i="6" l="1"/>
  <c r="J571" i="6" s="1"/>
  <c r="F571" i="6"/>
  <c r="A572" i="6" s="1"/>
  <c r="L571" i="6"/>
  <c r="B571" i="6"/>
  <c r="D571" i="6"/>
  <c r="H571" i="6" s="1"/>
  <c r="E571" i="6"/>
  <c r="G571" i="6" s="1"/>
  <c r="K571" i="6"/>
  <c r="C571" i="6"/>
  <c r="E648" i="2"/>
  <c r="C648" i="2"/>
  <c r="F648" i="2"/>
  <c r="A649" i="2" s="1"/>
  <c r="G648" i="2"/>
  <c r="B648" i="2"/>
  <c r="H648" i="2" s="1"/>
  <c r="D648" i="2"/>
  <c r="I572" i="6" l="1"/>
  <c r="J572" i="6" s="1"/>
  <c r="E572" i="6"/>
  <c r="G572" i="6" s="1"/>
  <c r="F572" i="6"/>
  <c r="A573" i="6" s="1"/>
  <c r="L572" i="6"/>
  <c r="C572" i="6"/>
  <c r="D572" i="6"/>
  <c r="H572" i="6" s="1"/>
  <c r="B572" i="6"/>
  <c r="K572" i="6"/>
  <c r="B649" i="2"/>
  <c r="H649" i="2" s="1"/>
  <c r="D649" i="2"/>
  <c r="C649" i="2"/>
  <c r="F649" i="2"/>
  <c r="A650" i="2" s="1"/>
  <c r="G649" i="2"/>
  <c r="E649" i="2"/>
  <c r="I573" i="6" l="1"/>
  <c r="J573" i="6" s="1"/>
  <c r="F573" i="6"/>
  <c r="A574" i="6" s="1"/>
  <c r="D573" i="6"/>
  <c r="H573" i="6" s="1"/>
  <c r="L573" i="6"/>
  <c r="B573" i="6"/>
  <c r="E573" i="6"/>
  <c r="G573" i="6" s="1"/>
  <c r="C573" i="6"/>
  <c r="K573" i="6"/>
  <c r="D650" i="2"/>
  <c r="B650" i="2"/>
  <c r="H650" i="2" s="1"/>
  <c r="E650" i="2"/>
  <c r="F650" i="2"/>
  <c r="A651" i="2" s="1"/>
  <c r="C650" i="2"/>
  <c r="G650" i="2"/>
  <c r="I574" i="6" l="1"/>
  <c r="J574" i="6" s="1"/>
  <c r="B574" i="6"/>
  <c r="E574" i="6"/>
  <c r="G574" i="6" s="1"/>
  <c r="F574" i="6"/>
  <c r="A575" i="6" s="1"/>
  <c r="C574" i="6"/>
  <c r="D574" i="6"/>
  <c r="H574" i="6" s="1"/>
  <c r="L574" i="6"/>
  <c r="K574" i="6"/>
  <c r="G651" i="2"/>
  <c r="F651" i="2"/>
  <c r="A652" i="2" s="1"/>
  <c r="C651" i="2"/>
  <c r="E651" i="2"/>
  <c r="D651" i="2"/>
  <c r="B651" i="2"/>
  <c r="H651" i="2" s="1"/>
  <c r="I575" i="6" l="1"/>
  <c r="J575" i="6" s="1"/>
  <c r="C575" i="6"/>
  <c r="F575" i="6"/>
  <c r="A576" i="6" s="1"/>
  <c r="K575" i="6"/>
  <c r="D575" i="6"/>
  <c r="H575" i="6" s="1"/>
  <c r="E575" i="6"/>
  <c r="G575" i="6" s="1"/>
  <c r="B575" i="6"/>
  <c r="L575" i="6"/>
  <c r="G652" i="2"/>
  <c r="E652" i="2"/>
  <c r="B652" i="2"/>
  <c r="H652" i="2" s="1"/>
  <c r="F652" i="2"/>
  <c r="A653" i="2" s="1"/>
  <c r="C652" i="2"/>
  <c r="D652" i="2"/>
  <c r="I576" i="6" l="1"/>
  <c r="J576" i="6" s="1"/>
  <c r="B576" i="6"/>
  <c r="C576" i="6"/>
  <c r="F576" i="6"/>
  <c r="A577" i="6" s="1"/>
  <c r="D576" i="6"/>
  <c r="H576" i="6" s="1"/>
  <c r="E576" i="6"/>
  <c r="G576" i="6" s="1"/>
  <c r="L576" i="6"/>
  <c r="K576" i="6"/>
  <c r="D653" i="2"/>
  <c r="E653" i="2"/>
  <c r="F653" i="2"/>
  <c r="A654" i="2" s="1"/>
  <c r="G653" i="2"/>
  <c r="B653" i="2"/>
  <c r="H653" i="2" s="1"/>
  <c r="C653" i="2"/>
  <c r="I577" i="6" l="1"/>
  <c r="J577" i="6" s="1"/>
  <c r="B577" i="6"/>
  <c r="E577" i="6"/>
  <c r="G577" i="6" s="1"/>
  <c r="K577" i="6"/>
  <c r="C577" i="6"/>
  <c r="D577" i="6"/>
  <c r="H577" i="6" s="1"/>
  <c r="F577" i="6"/>
  <c r="A578" i="6" s="1"/>
  <c r="L577" i="6"/>
  <c r="F654" i="2"/>
  <c r="A655" i="2" s="1"/>
  <c r="B654" i="2"/>
  <c r="H654" i="2" s="1"/>
  <c r="E654" i="2"/>
  <c r="G654" i="2"/>
  <c r="C654" i="2"/>
  <c r="D654" i="2"/>
  <c r="I578" i="6" l="1"/>
  <c r="J578" i="6" s="1"/>
  <c r="F578" i="6"/>
  <c r="A579" i="6" s="1"/>
  <c r="B578" i="6"/>
  <c r="E578" i="6"/>
  <c r="G578" i="6" s="1"/>
  <c r="D578" i="6"/>
  <c r="H578" i="6" s="1"/>
  <c r="L578" i="6"/>
  <c r="C578" i="6"/>
  <c r="K578" i="6"/>
  <c r="G655" i="2"/>
  <c r="C655" i="2"/>
  <c r="B655" i="2"/>
  <c r="H655" i="2" s="1"/>
  <c r="D655" i="2"/>
  <c r="F655" i="2"/>
  <c r="A656" i="2" s="1"/>
  <c r="E655" i="2"/>
  <c r="I579" i="6" l="1"/>
  <c r="J579" i="6" s="1"/>
  <c r="C579" i="6"/>
  <c r="E579" i="6"/>
  <c r="G579" i="6" s="1"/>
  <c r="D579" i="6"/>
  <c r="H579" i="6" s="1"/>
  <c r="B579" i="6"/>
  <c r="F579" i="6"/>
  <c r="A580" i="6" s="1"/>
  <c r="K579" i="6"/>
  <c r="L579" i="6"/>
  <c r="C656" i="2"/>
  <c r="F656" i="2"/>
  <c r="A657" i="2" s="1"/>
  <c r="D656" i="2"/>
  <c r="E656" i="2"/>
  <c r="G656" i="2"/>
  <c r="B656" i="2"/>
  <c r="H656" i="2" s="1"/>
  <c r="I580" i="6" l="1"/>
  <c r="J580" i="6" s="1"/>
  <c r="E580" i="6"/>
  <c r="G580" i="6" s="1"/>
  <c r="F580" i="6"/>
  <c r="A581" i="6" s="1"/>
  <c r="L580" i="6"/>
  <c r="K580" i="6"/>
  <c r="C580" i="6"/>
  <c r="D580" i="6"/>
  <c r="H580" i="6" s="1"/>
  <c r="B580" i="6"/>
  <c r="G657" i="2"/>
  <c r="B657" i="2"/>
  <c r="H657" i="2" s="1"/>
  <c r="D657" i="2"/>
  <c r="E657" i="2"/>
  <c r="C657" i="2"/>
  <c r="F657" i="2"/>
  <c r="A658" i="2" s="1"/>
  <c r="I581" i="6" l="1"/>
  <c r="J581" i="6" s="1"/>
  <c r="B581" i="6"/>
  <c r="D581" i="6"/>
  <c r="H581" i="6" s="1"/>
  <c r="C581" i="6"/>
  <c r="F581" i="6"/>
  <c r="A582" i="6" s="1"/>
  <c r="E581" i="6"/>
  <c r="G581" i="6" s="1"/>
  <c r="K581" i="6"/>
  <c r="L581" i="6"/>
  <c r="F658" i="2"/>
  <c r="A659" i="2" s="1"/>
  <c r="G658" i="2"/>
  <c r="C658" i="2"/>
  <c r="E658" i="2"/>
  <c r="D658" i="2"/>
  <c r="B658" i="2"/>
  <c r="H658" i="2" s="1"/>
  <c r="I582" i="6" l="1"/>
  <c r="J582" i="6" s="1"/>
  <c r="F582" i="6"/>
  <c r="A583" i="6" s="1"/>
  <c r="D582" i="6"/>
  <c r="H582" i="6" s="1"/>
  <c r="B582" i="6"/>
  <c r="C582" i="6"/>
  <c r="L582" i="6"/>
  <c r="E582" i="6"/>
  <c r="G582" i="6" s="1"/>
  <c r="K582" i="6"/>
  <c r="C659" i="2"/>
  <c r="G659" i="2"/>
  <c r="F659" i="2"/>
  <c r="A660" i="2" s="1"/>
  <c r="D659" i="2"/>
  <c r="E659" i="2"/>
  <c r="B659" i="2"/>
  <c r="H659" i="2" s="1"/>
  <c r="I583" i="6" l="1"/>
  <c r="J583" i="6" s="1"/>
  <c r="E583" i="6"/>
  <c r="G583" i="6" s="1"/>
  <c r="B583" i="6"/>
  <c r="L583" i="6"/>
  <c r="D583" i="6"/>
  <c r="H583" i="6" s="1"/>
  <c r="K583" i="6"/>
  <c r="F583" i="6"/>
  <c r="A584" i="6" s="1"/>
  <c r="C583" i="6"/>
  <c r="B660" i="2"/>
  <c r="H660" i="2" s="1"/>
  <c r="D660" i="2"/>
  <c r="E660" i="2"/>
  <c r="G660" i="2"/>
  <c r="F660" i="2"/>
  <c r="A661" i="2" s="1"/>
  <c r="C660" i="2"/>
  <c r="I584" i="6" l="1"/>
  <c r="J584" i="6" s="1"/>
  <c r="B584" i="6"/>
  <c r="C584" i="6"/>
  <c r="F584" i="6"/>
  <c r="A585" i="6" s="1"/>
  <c r="E584" i="6"/>
  <c r="G584" i="6" s="1"/>
  <c r="L584" i="6"/>
  <c r="D584" i="6"/>
  <c r="H584" i="6" s="1"/>
  <c r="K584" i="6"/>
  <c r="D661" i="2"/>
  <c r="G661" i="2"/>
  <c r="C661" i="2"/>
  <c r="B661" i="2"/>
  <c r="H661" i="2" s="1"/>
  <c r="E661" i="2"/>
  <c r="F661" i="2"/>
  <c r="A662" i="2" s="1"/>
  <c r="I585" i="6" l="1"/>
  <c r="J585" i="6" s="1"/>
  <c r="C585" i="6"/>
  <c r="E585" i="6"/>
  <c r="G585" i="6" s="1"/>
  <c r="B585" i="6"/>
  <c r="D585" i="6"/>
  <c r="H585" i="6" s="1"/>
  <c r="F585" i="6"/>
  <c r="A586" i="6" s="1"/>
  <c r="K585" i="6"/>
  <c r="L585" i="6"/>
  <c r="E662" i="2"/>
  <c r="D662" i="2"/>
  <c r="B662" i="2"/>
  <c r="H662" i="2" s="1"/>
  <c r="C662" i="2"/>
  <c r="F662" i="2"/>
  <c r="A663" i="2" s="1"/>
  <c r="G662" i="2"/>
  <c r="I586" i="6" l="1"/>
  <c r="J586" i="6" s="1"/>
  <c r="C586" i="6"/>
  <c r="F586" i="6"/>
  <c r="A587" i="6" s="1"/>
  <c r="D586" i="6"/>
  <c r="H586" i="6" s="1"/>
  <c r="L586" i="6"/>
  <c r="B586" i="6"/>
  <c r="E586" i="6"/>
  <c r="G586" i="6" s="1"/>
  <c r="K586" i="6"/>
  <c r="E663" i="2"/>
  <c r="B663" i="2"/>
  <c r="H663" i="2" s="1"/>
  <c r="C663" i="2"/>
  <c r="G663" i="2"/>
  <c r="F663" i="2"/>
  <c r="A664" i="2" s="1"/>
  <c r="D663" i="2"/>
  <c r="I587" i="6" l="1"/>
  <c r="J587" i="6" s="1"/>
  <c r="C587" i="6"/>
  <c r="F587" i="6"/>
  <c r="A588" i="6" s="1"/>
  <c r="D587" i="6"/>
  <c r="H587" i="6" s="1"/>
  <c r="E587" i="6"/>
  <c r="G587" i="6" s="1"/>
  <c r="B587" i="6"/>
  <c r="K587" i="6"/>
  <c r="L587" i="6"/>
  <c r="E664" i="2"/>
  <c r="F664" i="2"/>
  <c r="A665" i="2" s="1"/>
  <c r="C664" i="2"/>
  <c r="G664" i="2"/>
  <c r="D664" i="2"/>
  <c r="B664" i="2"/>
  <c r="H664" i="2" s="1"/>
  <c r="I588" i="6" l="1"/>
  <c r="J588" i="6" s="1"/>
  <c r="E588" i="6"/>
  <c r="G588" i="6" s="1"/>
  <c r="D588" i="6"/>
  <c r="H588" i="6" s="1"/>
  <c r="K588" i="6"/>
  <c r="C588" i="6"/>
  <c r="L588" i="6"/>
  <c r="B588" i="6"/>
  <c r="F588" i="6"/>
  <c r="A589" i="6" s="1"/>
  <c r="B665" i="2"/>
  <c r="H665" i="2" s="1"/>
  <c r="F665" i="2"/>
  <c r="A666" i="2" s="1"/>
  <c r="C665" i="2"/>
  <c r="E665" i="2"/>
  <c r="D665" i="2"/>
  <c r="G665" i="2"/>
  <c r="I589" i="6" l="1"/>
  <c r="J589" i="6" s="1"/>
  <c r="C589" i="6"/>
  <c r="D589" i="6"/>
  <c r="H589" i="6" s="1"/>
  <c r="F589" i="6"/>
  <c r="A590" i="6" s="1"/>
  <c r="B589" i="6"/>
  <c r="E589" i="6"/>
  <c r="G589" i="6" s="1"/>
  <c r="K589" i="6"/>
  <c r="L589" i="6"/>
  <c r="B666" i="2"/>
  <c r="H666" i="2" s="1"/>
  <c r="D666" i="2"/>
  <c r="C666" i="2"/>
  <c r="G666" i="2"/>
  <c r="E666" i="2"/>
  <c r="F666" i="2"/>
  <c r="A667" i="2" s="1"/>
  <c r="I590" i="6" l="1"/>
  <c r="J590" i="6" s="1"/>
  <c r="C590" i="6"/>
  <c r="F590" i="6"/>
  <c r="A591" i="6" s="1"/>
  <c r="D590" i="6"/>
  <c r="H590" i="6" s="1"/>
  <c r="B590" i="6"/>
  <c r="E590" i="6"/>
  <c r="G590" i="6" s="1"/>
  <c r="L590" i="6"/>
  <c r="K590" i="6"/>
  <c r="F667" i="2"/>
  <c r="A668" i="2" s="1"/>
  <c r="D667" i="2"/>
  <c r="C667" i="2"/>
  <c r="E667" i="2"/>
  <c r="B667" i="2"/>
  <c r="H667" i="2" s="1"/>
  <c r="G667" i="2"/>
  <c r="I591" i="6" l="1"/>
  <c r="J591" i="6" s="1"/>
  <c r="B591" i="6"/>
  <c r="F591" i="6"/>
  <c r="A592" i="6" s="1"/>
  <c r="E591" i="6"/>
  <c r="G591" i="6" s="1"/>
  <c r="C591" i="6"/>
  <c r="K591" i="6"/>
  <c r="D591" i="6"/>
  <c r="H591" i="6" s="1"/>
  <c r="L591" i="6"/>
  <c r="F668" i="2"/>
  <c r="A669" i="2" s="1"/>
  <c r="C668" i="2"/>
  <c r="B668" i="2"/>
  <c r="H668" i="2" s="1"/>
  <c r="G668" i="2"/>
  <c r="D668" i="2"/>
  <c r="E668" i="2"/>
  <c r="I592" i="6" l="1"/>
  <c r="J592" i="6" s="1"/>
  <c r="F592" i="6"/>
  <c r="A593" i="6" s="1"/>
  <c r="E592" i="6"/>
  <c r="G592" i="6" s="1"/>
  <c r="C592" i="6"/>
  <c r="B592" i="6"/>
  <c r="K592" i="6"/>
  <c r="L592" i="6"/>
  <c r="D592" i="6"/>
  <c r="H592" i="6" s="1"/>
  <c r="B669" i="2"/>
  <c r="H669" i="2" s="1"/>
  <c r="D669" i="2"/>
  <c r="F669" i="2"/>
  <c r="A670" i="2" s="1"/>
  <c r="G669" i="2"/>
  <c r="E669" i="2"/>
  <c r="C669" i="2"/>
  <c r="I593" i="6" l="1"/>
  <c r="J593" i="6" s="1"/>
  <c r="D593" i="6"/>
  <c r="H593" i="6" s="1"/>
  <c r="B593" i="6"/>
  <c r="E593" i="6"/>
  <c r="G593" i="6" s="1"/>
  <c r="C593" i="6"/>
  <c r="F593" i="6"/>
  <c r="A594" i="6" s="1"/>
  <c r="K593" i="6"/>
  <c r="L593" i="6"/>
  <c r="D670" i="2"/>
  <c r="B670" i="2"/>
  <c r="H670" i="2" s="1"/>
  <c r="C670" i="2"/>
  <c r="F670" i="2"/>
  <c r="A671" i="2" s="1"/>
  <c r="E670" i="2"/>
  <c r="G670" i="2"/>
  <c r="I594" i="6" l="1"/>
  <c r="J594" i="6" s="1"/>
  <c r="E594" i="6"/>
  <c r="G594" i="6" s="1"/>
  <c r="F594" i="6"/>
  <c r="A595" i="6" s="1"/>
  <c r="B594" i="6"/>
  <c r="D594" i="6"/>
  <c r="H594" i="6" s="1"/>
  <c r="C594" i="6"/>
  <c r="L594" i="6"/>
  <c r="K594" i="6"/>
  <c r="G671" i="2"/>
  <c r="C671" i="2"/>
  <c r="B671" i="2"/>
  <c r="H671" i="2" s="1"/>
  <c r="D671" i="2"/>
  <c r="E671" i="2"/>
  <c r="F671" i="2"/>
  <c r="A672" i="2" s="1"/>
  <c r="I595" i="6" l="1"/>
  <c r="J595" i="6" s="1"/>
  <c r="C595" i="6"/>
  <c r="B595" i="6"/>
  <c r="E595" i="6"/>
  <c r="G595" i="6" s="1"/>
  <c r="D595" i="6"/>
  <c r="H595" i="6" s="1"/>
  <c r="K595" i="6"/>
  <c r="F595" i="6"/>
  <c r="A596" i="6" s="1"/>
  <c r="L595" i="6"/>
  <c r="E672" i="2"/>
  <c r="D672" i="2"/>
  <c r="G672" i="2"/>
  <c r="F672" i="2"/>
  <c r="A673" i="2" s="1"/>
  <c r="C672" i="2"/>
  <c r="B672" i="2"/>
  <c r="H672" i="2" s="1"/>
  <c r="I596" i="6" l="1"/>
  <c r="J596" i="6" s="1"/>
  <c r="C596" i="6"/>
  <c r="F596" i="6"/>
  <c r="A597" i="6" s="1"/>
  <c r="B596" i="6"/>
  <c r="D596" i="6"/>
  <c r="H596" i="6" s="1"/>
  <c r="L596" i="6"/>
  <c r="K596" i="6"/>
  <c r="E596" i="6"/>
  <c r="G596" i="6" s="1"/>
  <c r="B673" i="2"/>
  <c r="H673" i="2" s="1"/>
  <c r="E673" i="2"/>
  <c r="G673" i="2"/>
  <c r="F673" i="2"/>
  <c r="A674" i="2" s="1"/>
  <c r="C673" i="2"/>
  <c r="D673" i="2"/>
  <c r="I597" i="6" l="1"/>
  <c r="J597" i="6" s="1"/>
  <c r="B597" i="6"/>
  <c r="E597" i="6"/>
  <c r="G597" i="6" s="1"/>
  <c r="K597" i="6"/>
  <c r="C597" i="6"/>
  <c r="F597" i="6"/>
  <c r="A598" i="6" s="1"/>
  <c r="L597" i="6"/>
  <c r="D597" i="6"/>
  <c r="H597" i="6" s="1"/>
  <c r="C674" i="2"/>
  <c r="B674" i="2"/>
  <c r="H674" i="2" s="1"/>
  <c r="E674" i="2"/>
  <c r="D674" i="2"/>
  <c r="F674" i="2"/>
  <c r="A675" i="2" s="1"/>
  <c r="G674" i="2"/>
  <c r="I598" i="6" l="1"/>
  <c r="J598" i="6" s="1"/>
  <c r="E598" i="6"/>
  <c r="G598" i="6" s="1"/>
  <c r="F598" i="6"/>
  <c r="A599" i="6" s="1"/>
  <c r="B598" i="6"/>
  <c r="D598" i="6"/>
  <c r="H598" i="6" s="1"/>
  <c r="K598" i="6"/>
  <c r="C598" i="6"/>
  <c r="L598" i="6"/>
  <c r="F675" i="2"/>
  <c r="A676" i="2" s="1"/>
  <c r="E675" i="2"/>
  <c r="B675" i="2"/>
  <c r="H675" i="2" s="1"/>
  <c r="D675" i="2"/>
  <c r="G675" i="2"/>
  <c r="C675" i="2"/>
  <c r="I599" i="6" l="1"/>
  <c r="J599" i="6" s="1"/>
  <c r="B599" i="6"/>
  <c r="F599" i="6"/>
  <c r="A600" i="6" s="1"/>
  <c r="C599" i="6"/>
  <c r="E599" i="6"/>
  <c r="G599" i="6" s="1"/>
  <c r="K599" i="6"/>
  <c r="D599" i="6"/>
  <c r="H599" i="6" s="1"/>
  <c r="L599" i="6"/>
  <c r="G676" i="2"/>
  <c r="D676" i="2"/>
  <c r="F676" i="2"/>
  <c r="A677" i="2" s="1"/>
  <c r="C676" i="2"/>
  <c r="B676" i="2"/>
  <c r="H676" i="2" s="1"/>
  <c r="E676" i="2"/>
  <c r="I600" i="6" l="1"/>
  <c r="J600" i="6" s="1"/>
  <c r="F600" i="6"/>
  <c r="A601" i="6" s="1"/>
  <c r="E600" i="6"/>
  <c r="G600" i="6" s="1"/>
  <c r="D600" i="6"/>
  <c r="H600" i="6" s="1"/>
  <c r="B600" i="6"/>
  <c r="C600" i="6"/>
  <c r="L600" i="6"/>
  <c r="K600" i="6"/>
  <c r="E677" i="2"/>
  <c r="D677" i="2"/>
  <c r="C677" i="2"/>
  <c r="F677" i="2"/>
  <c r="A678" i="2" s="1"/>
  <c r="B677" i="2"/>
  <c r="H677" i="2" s="1"/>
  <c r="G677" i="2"/>
  <c r="I601" i="6" l="1"/>
  <c r="J601" i="6" s="1"/>
  <c r="C601" i="6"/>
  <c r="D601" i="6"/>
  <c r="H601" i="6" s="1"/>
  <c r="E601" i="6"/>
  <c r="G601" i="6" s="1"/>
  <c r="B601" i="6"/>
  <c r="F601" i="6"/>
  <c r="A602" i="6" s="1"/>
  <c r="K601" i="6"/>
  <c r="L601" i="6"/>
  <c r="D678" i="2"/>
  <c r="C678" i="2"/>
  <c r="G678" i="2"/>
  <c r="F678" i="2"/>
  <c r="A679" i="2" s="1"/>
  <c r="E678" i="2"/>
  <c r="B678" i="2"/>
  <c r="H678" i="2" s="1"/>
  <c r="I602" i="6" l="1"/>
  <c r="J602" i="6" s="1"/>
  <c r="B602" i="6"/>
  <c r="E602" i="6"/>
  <c r="G602" i="6" s="1"/>
  <c r="C602" i="6"/>
  <c r="L602" i="6"/>
  <c r="F602" i="6"/>
  <c r="A603" i="6" s="1"/>
  <c r="D602" i="6"/>
  <c r="H602" i="6" s="1"/>
  <c r="K602" i="6"/>
  <c r="D679" i="2"/>
  <c r="F679" i="2"/>
  <c r="A680" i="2" s="1"/>
  <c r="G679" i="2"/>
  <c r="B679" i="2"/>
  <c r="H679" i="2" s="1"/>
  <c r="C679" i="2"/>
  <c r="E679" i="2"/>
  <c r="I603" i="6" l="1"/>
  <c r="J603" i="6" s="1"/>
  <c r="D603" i="6"/>
  <c r="H603" i="6" s="1"/>
  <c r="F603" i="6"/>
  <c r="A604" i="6" s="1"/>
  <c r="K603" i="6"/>
  <c r="B603" i="6"/>
  <c r="E603" i="6"/>
  <c r="G603" i="6" s="1"/>
  <c r="C603" i="6"/>
  <c r="L603" i="6"/>
  <c r="B680" i="2"/>
  <c r="H680" i="2" s="1"/>
  <c r="G680" i="2"/>
  <c r="F680" i="2"/>
  <c r="A681" i="2" s="1"/>
  <c r="D680" i="2"/>
  <c r="E680" i="2"/>
  <c r="C680" i="2"/>
  <c r="I604" i="6" l="1"/>
  <c r="J604" i="6" s="1"/>
  <c r="C604" i="6"/>
  <c r="F604" i="6"/>
  <c r="A605" i="6" s="1"/>
  <c r="B604" i="6"/>
  <c r="K604" i="6"/>
  <c r="E604" i="6"/>
  <c r="G604" i="6" s="1"/>
  <c r="D604" i="6"/>
  <c r="H604" i="6" s="1"/>
  <c r="L604" i="6"/>
  <c r="D681" i="2"/>
  <c r="G681" i="2"/>
  <c r="C681" i="2"/>
  <c r="E681" i="2"/>
  <c r="B681" i="2"/>
  <c r="H681" i="2" s="1"/>
  <c r="F681" i="2"/>
  <c r="A682" i="2" s="1"/>
  <c r="I605" i="6" l="1"/>
  <c r="J605" i="6" s="1"/>
  <c r="D605" i="6"/>
  <c r="H605" i="6" s="1"/>
  <c r="L605" i="6"/>
  <c r="B605" i="6"/>
  <c r="C605" i="6"/>
  <c r="E605" i="6"/>
  <c r="G605" i="6" s="1"/>
  <c r="F605" i="6"/>
  <c r="A606" i="6" s="1"/>
  <c r="K605" i="6"/>
  <c r="E682" i="2"/>
  <c r="G682" i="2"/>
  <c r="D682" i="2"/>
  <c r="F682" i="2"/>
  <c r="A683" i="2" s="1"/>
  <c r="C682" i="2"/>
  <c r="B682" i="2"/>
  <c r="H682" i="2" s="1"/>
  <c r="I606" i="6" l="1"/>
  <c r="J606" i="6" s="1"/>
  <c r="B606" i="6"/>
  <c r="C606" i="6"/>
  <c r="D606" i="6"/>
  <c r="H606" i="6" s="1"/>
  <c r="F606" i="6"/>
  <c r="A607" i="6" s="1"/>
  <c r="K606" i="6"/>
  <c r="E606" i="6"/>
  <c r="G606" i="6" s="1"/>
  <c r="L606" i="6"/>
  <c r="D683" i="2"/>
  <c r="B683" i="2"/>
  <c r="H683" i="2" s="1"/>
  <c r="F683" i="2"/>
  <c r="A684" i="2" s="1"/>
  <c r="C683" i="2"/>
  <c r="G683" i="2"/>
  <c r="E683" i="2"/>
  <c r="I607" i="6" l="1"/>
  <c r="J607" i="6" s="1"/>
  <c r="E607" i="6"/>
  <c r="G607" i="6" s="1"/>
  <c r="D607" i="6"/>
  <c r="H607" i="6" s="1"/>
  <c r="F607" i="6"/>
  <c r="A608" i="6" s="1"/>
  <c r="C607" i="6"/>
  <c r="L607" i="6"/>
  <c r="B607" i="6"/>
  <c r="K607" i="6"/>
  <c r="B684" i="2"/>
  <c r="H684" i="2" s="1"/>
  <c r="F684" i="2"/>
  <c r="A685" i="2" s="1"/>
  <c r="C684" i="2"/>
  <c r="G684" i="2"/>
  <c r="D684" i="2"/>
  <c r="E684" i="2"/>
  <c r="I608" i="6" l="1"/>
  <c r="J608" i="6" s="1"/>
  <c r="D608" i="6"/>
  <c r="H608" i="6" s="1"/>
  <c r="B608" i="6"/>
  <c r="E608" i="6"/>
  <c r="G608" i="6" s="1"/>
  <c r="C608" i="6"/>
  <c r="K608" i="6"/>
  <c r="F608" i="6"/>
  <c r="A609" i="6" s="1"/>
  <c r="L608" i="6"/>
  <c r="E685" i="2"/>
  <c r="C685" i="2"/>
  <c r="F685" i="2"/>
  <c r="A686" i="2" s="1"/>
  <c r="B685" i="2"/>
  <c r="H685" i="2" s="1"/>
  <c r="D685" i="2"/>
  <c r="G685" i="2"/>
  <c r="I609" i="6" l="1"/>
  <c r="J609" i="6" s="1"/>
  <c r="F609" i="6"/>
  <c r="A610" i="6" s="1"/>
  <c r="B609" i="6"/>
  <c r="E609" i="6"/>
  <c r="G609" i="6" s="1"/>
  <c r="C609" i="6"/>
  <c r="K609" i="6"/>
  <c r="L609" i="6"/>
  <c r="D609" i="6"/>
  <c r="H609" i="6" s="1"/>
  <c r="E686" i="2"/>
  <c r="F686" i="2"/>
  <c r="A687" i="2" s="1"/>
  <c r="D686" i="2"/>
  <c r="B686" i="2"/>
  <c r="H686" i="2" s="1"/>
  <c r="G686" i="2"/>
  <c r="C686" i="2"/>
  <c r="I610" i="6" l="1"/>
  <c r="J610" i="6" s="1"/>
  <c r="E610" i="6"/>
  <c r="G610" i="6" s="1"/>
  <c r="F610" i="6"/>
  <c r="A611" i="6" s="1"/>
  <c r="D610" i="6"/>
  <c r="H610" i="6" s="1"/>
  <c r="B610" i="6"/>
  <c r="C610" i="6"/>
  <c r="K610" i="6"/>
  <c r="L610" i="6"/>
  <c r="D687" i="2"/>
  <c r="C687" i="2"/>
  <c r="B687" i="2"/>
  <c r="H687" i="2" s="1"/>
  <c r="E687" i="2"/>
  <c r="G687" i="2"/>
  <c r="F687" i="2"/>
  <c r="A688" i="2" s="1"/>
  <c r="I611" i="6" l="1"/>
  <c r="J611" i="6" s="1"/>
  <c r="F611" i="6"/>
  <c r="A612" i="6" s="1"/>
  <c r="D611" i="6"/>
  <c r="H611" i="6" s="1"/>
  <c r="C611" i="6"/>
  <c r="B611" i="6"/>
  <c r="E611" i="6"/>
  <c r="G611" i="6" s="1"/>
  <c r="L611" i="6"/>
  <c r="K611" i="6"/>
  <c r="D688" i="2"/>
  <c r="E688" i="2"/>
  <c r="C688" i="2"/>
  <c r="B688" i="2"/>
  <c r="H688" i="2" s="1"/>
  <c r="F688" i="2"/>
  <c r="A689" i="2" s="1"/>
  <c r="G688" i="2"/>
  <c r="I612" i="6" l="1"/>
  <c r="J612" i="6" s="1"/>
  <c r="E612" i="6"/>
  <c r="G612" i="6" s="1"/>
  <c r="B612" i="6"/>
  <c r="K612" i="6"/>
  <c r="D612" i="6"/>
  <c r="H612" i="6" s="1"/>
  <c r="F612" i="6"/>
  <c r="A613" i="6" s="1"/>
  <c r="C612" i="6"/>
  <c r="L612" i="6"/>
  <c r="E689" i="2"/>
  <c r="B689" i="2"/>
  <c r="H689" i="2" s="1"/>
  <c r="F689" i="2"/>
  <c r="A690" i="2" s="1"/>
  <c r="G689" i="2"/>
  <c r="D689" i="2"/>
  <c r="C689" i="2"/>
  <c r="I613" i="6" l="1"/>
  <c r="J613" i="6" s="1"/>
  <c r="E613" i="6"/>
  <c r="G613" i="6" s="1"/>
  <c r="C613" i="6"/>
  <c r="F613" i="6"/>
  <c r="A614" i="6" s="1"/>
  <c r="B613" i="6"/>
  <c r="D613" i="6"/>
  <c r="H613" i="6" s="1"/>
  <c r="L613" i="6"/>
  <c r="K613" i="6"/>
  <c r="E690" i="2"/>
  <c r="G690" i="2"/>
  <c r="F690" i="2"/>
  <c r="A691" i="2" s="1"/>
  <c r="C690" i="2"/>
  <c r="B690" i="2"/>
  <c r="H690" i="2" s="1"/>
  <c r="D690" i="2"/>
  <c r="I614" i="6" l="1"/>
  <c r="J614" i="6" s="1"/>
  <c r="C614" i="6"/>
  <c r="F614" i="6"/>
  <c r="A615" i="6" s="1"/>
  <c r="E614" i="6"/>
  <c r="G614" i="6" s="1"/>
  <c r="B614" i="6"/>
  <c r="K614" i="6"/>
  <c r="L614" i="6"/>
  <c r="D614" i="6"/>
  <c r="H614" i="6" s="1"/>
  <c r="D691" i="2"/>
  <c r="B691" i="2"/>
  <c r="H691" i="2" s="1"/>
  <c r="F691" i="2"/>
  <c r="A692" i="2" s="1"/>
  <c r="G691" i="2"/>
  <c r="E691" i="2"/>
  <c r="C691" i="2"/>
  <c r="I615" i="6" l="1"/>
  <c r="J615" i="6" s="1"/>
  <c r="F615" i="6"/>
  <c r="A616" i="6" s="1"/>
  <c r="E615" i="6"/>
  <c r="G615" i="6" s="1"/>
  <c r="B615" i="6"/>
  <c r="L615" i="6"/>
  <c r="D615" i="6"/>
  <c r="H615" i="6" s="1"/>
  <c r="C615" i="6"/>
  <c r="K615" i="6"/>
  <c r="G692" i="2"/>
  <c r="F692" i="2"/>
  <c r="A693" i="2" s="1"/>
  <c r="B692" i="2"/>
  <c r="H692" i="2" s="1"/>
  <c r="E692" i="2"/>
  <c r="C692" i="2"/>
  <c r="D692" i="2"/>
  <c r="I616" i="6" l="1"/>
  <c r="J616" i="6" s="1"/>
  <c r="D616" i="6"/>
  <c r="H616" i="6" s="1"/>
  <c r="B616" i="6"/>
  <c r="F616" i="6"/>
  <c r="A617" i="6" s="1"/>
  <c r="K616" i="6"/>
  <c r="E616" i="6"/>
  <c r="G616" i="6" s="1"/>
  <c r="C616" i="6"/>
  <c r="L616" i="6"/>
  <c r="G693" i="2"/>
  <c r="F693" i="2"/>
  <c r="A694" i="2" s="1"/>
  <c r="D693" i="2"/>
  <c r="C693" i="2"/>
  <c r="B693" i="2"/>
  <c r="H693" i="2" s="1"/>
  <c r="E693" i="2"/>
  <c r="I617" i="6" l="1"/>
  <c r="J617" i="6" s="1"/>
  <c r="F617" i="6"/>
  <c r="A618" i="6" s="1"/>
  <c r="E617" i="6"/>
  <c r="G617" i="6" s="1"/>
  <c r="D617" i="6"/>
  <c r="H617" i="6" s="1"/>
  <c r="B617" i="6"/>
  <c r="C617" i="6"/>
  <c r="L617" i="6"/>
  <c r="K617" i="6"/>
  <c r="E694" i="2"/>
  <c r="F694" i="2"/>
  <c r="A695" i="2" s="1"/>
  <c r="C694" i="2"/>
  <c r="B694" i="2"/>
  <c r="H694" i="2" s="1"/>
  <c r="G694" i="2"/>
  <c r="D694" i="2"/>
  <c r="I618" i="6" l="1"/>
  <c r="J618" i="6" s="1"/>
  <c r="E618" i="6"/>
  <c r="G618" i="6" s="1"/>
  <c r="C618" i="6"/>
  <c r="F618" i="6"/>
  <c r="A619" i="6" s="1"/>
  <c r="D618" i="6"/>
  <c r="H618" i="6" s="1"/>
  <c r="K618" i="6"/>
  <c r="B618" i="6"/>
  <c r="L618" i="6"/>
  <c r="B695" i="2"/>
  <c r="H695" i="2" s="1"/>
  <c r="E695" i="2"/>
  <c r="F695" i="2"/>
  <c r="A696" i="2" s="1"/>
  <c r="G695" i="2"/>
  <c r="C695" i="2"/>
  <c r="D695" i="2"/>
  <c r="I619" i="6" l="1"/>
  <c r="J619" i="6" s="1"/>
  <c r="E619" i="6"/>
  <c r="G619" i="6" s="1"/>
  <c r="C619" i="6"/>
  <c r="B619" i="6"/>
  <c r="F619" i="6"/>
  <c r="A620" i="6" s="1"/>
  <c r="K619" i="6"/>
  <c r="L619" i="6"/>
  <c r="D619" i="6"/>
  <c r="H619" i="6" s="1"/>
  <c r="B696" i="2"/>
  <c r="H696" i="2" s="1"/>
  <c r="E696" i="2"/>
  <c r="D696" i="2"/>
  <c r="G696" i="2"/>
  <c r="F696" i="2"/>
  <c r="A697" i="2" s="1"/>
  <c r="C696" i="2"/>
  <c r="I620" i="6" l="1"/>
  <c r="J620" i="6" s="1"/>
  <c r="C620" i="6"/>
  <c r="D620" i="6"/>
  <c r="H620" i="6" s="1"/>
  <c r="E620" i="6"/>
  <c r="G620" i="6" s="1"/>
  <c r="F620" i="6"/>
  <c r="A621" i="6" s="1"/>
  <c r="B620" i="6"/>
  <c r="L620" i="6"/>
  <c r="K620" i="6"/>
  <c r="C697" i="2"/>
  <c r="E697" i="2"/>
  <c r="G697" i="2"/>
  <c r="B697" i="2"/>
  <c r="H697" i="2" s="1"/>
  <c r="D697" i="2"/>
  <c r="F697" i="2"/>
  <c r="A698" i="2" s="1"/>
  <c r="I621" i="6" l="1"/>
  <c r="J621" i="6" s="1"/>
  <c r="C621" i="6"/>
  <c r="E621" i="6"/>
  <c r="G621" i="6" s="1"/>
  <c r="D621" i="6"/>
  <c r="H621" i="6" s="1"/>
  <c r="F621" i="6"/>
  <c r="A622" i="6" s="1"/>
  <c r="K621" i="6"/>
  <c r="B621" i="6"/>
  <c r="L621" i="6"/>
  <c r="D698" i="2"/>
  <c r="B698" i="2"/>
  <c r="H698" i="2" s="1"/>
  <c r="G698" i="2"/>
  <c r="E698" i="2"/>
  <c r="F698" i="2"/>
  <c r="A699" i="2" s="1"/>
  <c r="C698" i="2"/>
  <c r="I622" i="6" l="1"/>
  <c r="J622" i="6" s="1"/>
  <c r="B622" i="6"/>
  <c r="F622" i="6"/>
  <c r="A623" i="6" s="1"/>
  <c r="C622" i="6"/>
  <c r="D622" i="6"/>
  <c r="H622" i="6" s="1"/>
  <c r="K622" i="6"/>
  <c r="E622" i="6"/>
  <c r="G622" i="6" s="1"/>
  <c r="L622" i="6"/>
  <c r="E699" i="2"/>
  <c r="G699" i="2"/>
  <c r="C699" i="2"/>
  <c r="F699" i="2"/>
  <c r="A700" i="2" s="1"/>
  <c r="D699" i="2"/>
  <c r="B699" i="2"/>
  <c r="H699" i="2" s="1"/>
  <c r="I623" i="6" l="1"/>
  <c r="J623" i="6" s="1"/>
  <c r="E623" i="6"/>
  <c r="G623" i="6" s="1"/>
  <c r="F623" i="6"/>
  <c r="A624" i="6" s="1"/>
  <c r="B623" i="6"/>
  <c r="C623" i="6"/>
  <c r="D623" i="6"/>
  <c r="H623" i="6" s="1"/>
  <c r="L623" i="6"/>
  <c r="K623" i="6"/>
  <c r="C700" i="2"/>
  <c r="F700" i="2"/>
  <c r="A701" i="2" s="1"/>
  <c r="E700" i="2"/>
  <c r="G700" i="2"/>
  <c r="B700" i="2"/>
  <c r="H700" i="2" s="1"/>
  <c r="D700" i="2"/>
  <c r="I624" i="6" l="1"/>
  <c r="J624" i="6" s="1"/>
  <c r="B624" i="6"/>
  <c r="E624" i="6"/>
  <c r="G624" i="6" s="1"/>
  <c r="D624" i="6"/>
  <c r="H624" i="6" s="1"/>
  <c r="C624" i="6"/>
  <c r="L624" i="6"/>
  <c r="F624" i="6"/>
  <c r="A625" i="6" s="1"/>
  <c r="K624" i="6"/>
  <c r="B701" i="2"/>
  <c r="H701" i="2" s="1"/>
  <c r="E701" i="2"/>
  <c r="G701" i="2"/>
  <c r="F701" i="2"/>
  <c r="A702" i="2" s="1"/>
  <c r="C701" i="2"/>
  <c r="D701" i="2"/>
  <c r="I625" i="6" l="1"/>
  <c r="J625" i="6" s="1"/>
  <c r="E625" i="6"/>
  <c r="G625" i="6" s="1"/>
  <c r="C625" i="6"/>
  <c r="F625" i="6"/>
  <c r="A626" i="6" s="1"/>
  <c r="B625" i="6"/>
  <c r="K625" i="6"/>
  <c r="L625" i="6"/>
  <c r="D625" i="6"/>
  <c r="H625" i="6" s="1"/>
  <c r="B702" i="2"/>
  <c r="H702" i="2" s="1"/>
  <c r="F702" i="2"/>
  <c r="A703" i="2" s="1"/>
  <c r="D702" i="2"/>
  <c r="G702" i="2"/>
  <c r="C702" i="2"/>
  <c r="E702" i="2"/>
  <c r="I626" i="6" l="1"/>
  <c r="J626" i="6" s="1"/>
  <c r="D626" i="6"/>
  <c r="H626" i="6" s="1"/>
  <c r="E626" i="6"/>
  <c r="G626" i="6" s="1"/>
  <c r="F626" i="6"/>
  <c r="A627" i="6" s="1"/>
  <c r="B626" i="6"/>
  <c r="K626" i="6"/>
  <c r="C626" i="6"/>
  <c r="L626" i="6"/>
  <c r="C703" i="2"/>
  <c r="G703" i="2"/>
  <c r="B703" i="2"/>
  <c r="H703" i="2" s="1"/>
  <c r="D703" i="2"/>
  <c r="E703" i="2"/>
  <c r="F703" i="2"/>
  <c r="A704" i="2" s="1"/>
  <c r="I627" i="6" l="1"/>
  <c r="J627" i="6" s="1"/>
  <c r="F627" i="6"/>
  <c r="A628" i="6" s="1"/>
  <c r="D627" i="6"/>
  <c r="H627" i="6" s="1"/>
  <c r="B627" i="6"/>
  <c r="E627" i="6"/>
  <c r="G627" i="6" s="1"/>
  <c r="L627" i="6"/>
  <c r="C627" i="6"/>
  <c r="K627" i="6"/>
  <c r="F704" i="2"/>
  <c r="A705" i="2" s="1"/>
  <c r="G704" i="2"/>
  <c r="E704" i="2"/>
  <c r="B704" i="2"/>
  <c r="H704" i="2" s="1"/>
  <c r="D704" i="2"/>
  <c r="C704" i="2"/>
  <c r="I628" i="6" l="1"/>
  <c r="J628" i="6" s="1"/>
  <c r="D628" i="6"/>
  <c r="H628" i="6" s="1"/>
  <c r="E628" i="6"/>
  <c r="G628" i="6" s="1"/>
  <c r="K628" i="6"/>
  <c r="C628" i="6"/>
  <c r="F628" i="6"/>
  <c r="A629" i="6" s="1"/>
  <c r="L628" i="6"/>
  <c r="B628" i="6"/>
  <c r="C705" i="2"/>
  <c r="E705" i="2"/>
  <c r="D705" i="2"/>
  <c r="B705" i="2"/>
  <c r="H705" i="2" s="1"/>
  <c r="F705" i="2"/>
  <c r="A706" i="2" s="1"/>
  <c r="G705" i="2"/>
  <c r="I629" i="6" l="1"/>
  <c r="J629" i="6" s="1"/>
  <c r="C629" i="6"/>
  <c r="L629" i="6"/>
  <c r="B629" i="6"/>
  <c r="E629" i="6"/>
  <c r="G629" i="6" s="1"/>
  <c r="D629" i="6"/>
  <c r="H629" i="6" s="1"/>
  <c r="K629" i="6"/>
  <c r="F629" i="6"/>
  <c r="A630" i="6" s="1"/>
  <c r="E706" i="2"/>
  <c r="F706" i="2"/>
  <c r="A707" i="2" s="1"/>
  <c r="G706" i="2"/>
  <c r="D706" i="2"/>
  <c r="C706" i="2"/>
  <c r="B706" i="2"/>
  <c r="H706" i="2" s="1"/>
  <c r="I630" i="6" l="1"/>
  <c r="J630" i="6" s="1"/>
  <c r="C630" i="6"/>
  <c r="F630" i="6"/>
  <c r="A631" i="6" s="1"/>
  <c r="D630" i="6"/>
  <c r="H630" i="6" s="1"/>
  <c r="K630" i="6"/>
  <c r="E630" i="6"/>
  <c r="G630" i="6" s="1"/>
  <c r="L630" i="6"/>
  <c r="B630" i="6"/>
  <c r="G707" i="2"/>
  <c r="E707" i="2"/>
  <c r="B707" i="2"/>
  <c r="H707" i="2" s="1"/>
  <c r="C707" i="2"/>
  <c r="F707" i="2"/>
  <c r="A708" i="2" s="1"/>
  <c r="D707" i="2"/>
  <c r="I631" i="6" l="1"/>
  <c r="J631" i="6" s="1"/>
  <c r="F631" i="6"/>
  <c r="A632" i="6" s="1"/>
  <c r="D631" i="6"/>
  <c r="H631" i="6" s="1"/>
  <c r="B631" i="6"/>
  <c r="K631" i="6"/>
  <c r="C631" i="6"/>
  <c r="E631" i="6"/>
  <c r="G631" i="6" s="1"/>
  <c r="L631" i="6"/>
  <c r="G708" i="2"/>
  <c r="B708" i="2"/>
  <c r="H708" i="2" s="1"/>
  <c r="F708" i="2"/>
  <c r="A709" i="2" s="1"/>
  <c r="E708" i="2"/>
  <c r="D708" i="2"/>
  <c r="C708" i="2"/>
  <c r="I632" i="6" l="1"/>
  <c r="J632" i="6" s="1"/>
  <c r="F632" i="6"/>
  <c r="A633" i="6" s="1"/>
  <c r="D632" i="6"/>
  <c r="H632" i="6" s="1"/>
  <c r="E632" i="6"/>
  <c r="G632" i="6" s="1"/>
  <c r="C632" i="6"/>
  <c r="L632" i="6"/>
  <c r="K632" i="6"/>
  <c r="B632" i="6"/>
  <c r="E709" i="2"/>
  <c r="G709" i="2"/>
  <c r="D709" i="2"/>
  <c r="F709" i="2"/>
  <c r="A710" i="2" s="1"/>
  <c r="B709" i="2"/>
  <c r="H709" i="2" s="1"/>
  <c r="C709" i="2"/>
  <c r="I633" i="6" l="1"/>
  <c r="J633" i="6" s="1"/>
  <c r="D633" i="6"/>
  <c r="H633" i="6" s="1"/>
  <c r="L633" i="6"/>
  <c r="C633" i="6"/>
  <c r="B633" i="6"/>
  <c r="F633" i="6"/>
  <c r="A634" i="6" s="1"/>
  <c r="E633" i="6"/>
  <c r="G633" i="6" s="1"/>
  <c r="K633" i="6"/>
  <c r="D710" i="2"/>
  <c r="E710" i="2"/>
  <c r="G710" i="2"/>
  <c r="F710" i="2"/>
  <c r="A711" i="2" s="1"/>
  <c r="C710" i="2"/>
  <c r="B710" i="2"/>
  <c r="H710" i="2" s="1"/>
  <c r="I634" i="6" l="1"/>
  <c r="J634" i="6" s="1"/>
  <c r="F634" i="6"/>
  <c r="A635" i="6" s="1"/>
  <c r="D634" i="6"/>
  <c r="H634" i="6" s="1"/>
  <c r="E634" i="6"/>
  <c r="G634" i="6" s="1"/>
  <c r="B634" i="6"/>
  <c r="L634" i="6"/>
  <c r="C634" i="6"/>
  <c r="K634" i="6"/>
  <c r="E711" i="2"/>
  <c r="F711" i="2"/>
  <c r="A712" i="2" s="1"/>
  <c r="B711" i="2"/>
  <c r="H711" i="2" s="1"/>
  <c r="G711" i="2"/>
  <c r="C711" i="2"/>
  <c r="D711" i="2"/>
  <c r="I635" i="6" l="1"/>
  <c r="J635" i="6" s="1"/>
  <c r="F635" i="6"/>
  <c r="A636" i="6" s="1"/>
  <c r="D635" i="6"/>
  <c r="H635" i="6" s="1"/>
  <c r="E635" i="6"/>
  <c r="G635" i="6" s="1"/>
  <c r="C635" i="6"/>
  <c r="B635" i="6"/>
  <c r="L635" i="6"/>
  <c r="K635" i="6"/>
  <c r="B712" i="2"/>
  <c r="H712" i="2" s="1"/>
  <c r="D712" i="2"/>
  <c r="F712" i="2"/>
  <c r="A713" i="2" s="1"/>
  <c r="G712" i="2"/>
  <c r="C712" i="2"/>
  <c r="E712" i="2"/>
  <c r="I636" i="6" l="1"/>
  <c r="J636" i="6" s="1"/>
  <c r="D636" i="6"/>
  <c r="H636" i="6" s="1"/>
  <c r="F636" i="6"/>
  <c r="A637" i="6" s="1"/>
  <c r="E636" i="6"/>
  <c r="G636" i="6" s="1"/>
  <c r="L636" i="6"/>
  <c r="B636" i="6"/>
  <c r="C636" i="6"/>
  <c r="K636" i="6"/>
  <c r="C713" i="2"/>
  <c r="G713" i="2"/>
  <c r="D713" i="2"/>
  <c r="E713" i="2"/>
  <c r="B713" i="2"/>
  <c r="H713" i="2" s="1"/>
  <c r="F713" i="2"/>
  <c r="A714" i="2" s="1"/>
  <c r="I637" i="6" l="1"/>
  <c r="J637" i="6" s="1"/>
  <c r="F637" i="6"/>
  <c r="A638" i="6" s="1"/>
  <c r="E637" i="6"/>
  <c r="G637" i="6" s="1"/>
  <c r="C637" i="6"/>
  <c r="D637" i="6"/>
  <c r="H637" i="6" s="1"/>
  <c r="K637" i="6"/>
  <c r="B637" i="6"/>
  <c r="L637" i="6"/>
  <c r="D714" i="2"/>
  <c r="G714" i="2"/>
  <c r="C714" i="2"/>
  <c r="F714" i="2"/>
  <c r="A715" i="2" s="1"/>
  <c r="E714" i="2"/>
  <c r="B714" i="2"/>
  <c r="H714" i="2" s="1"/>
  <c r="I638" i="6" l="1"/>
  <c r="J638" i="6" s="1"/>
  <c r="F638" i="6"/>
  <c r="A639" i="6" s="1"/>
  <c r="C638" i="6"/>
  <c r="K638" i="6"/>
  <c r="E638" i="6"/>
  <c r="G638" i="6" s="1"/>
  <c r="B638" i="6"/>
  <c r="L638" i="6"/>
  <c r="D638" i="6"/>
  <c r="H638" i="6" s="1"/>
  <c r="G715" i="2"/>
  <c r="C715" i="2"/>
  <c r="F715" i="2"/>
  <c r="A716" i="2" s="1"/>
  <c r="E715" i="2"/>
  <c r="B715" i="2"/>
  <c r="H715" i="2" s="1"/>
  <c r="D715" i="2"/>
  <c r="I639" i="6" l="1"/>
  <c r="J639" i="6" s="1"/>
  <c r="D639" i="6"/>
  <c r="H639" i="6" s="1"/>
  <c r="F639" i="6"/>
  <c r="A640" i="6" s="1"/>
  <c r="E639" i="6"/>
  <c r="G639" i="6" s="1"/>
  <c r="C639" i="6"/>
  <c r="B639" i="6"/>
  <c r="L639" i="6"/>
  <c r="K639" i="6"/>
  <c r="D716" i="2"/>
  <c r="C716" i="2"/>
  <c r="E716" i="2"/>
  <c r="B716" i="2"/>
  <c r="H716" i="2" s="1"/>
  <c r="G716" i="2"/>
  <c r="F716" i="2"/>
  <c r="I640" i="6" l="1"/>
  <c r="J640" i="6" s="1"/>
  <c r="E640" i="6"/>
  <c r="G640" i="6" s="1"/>
  <c r="C640" i="6"/>
  <c r="F640" i="6"/>
  <c r="A641" i="6" s="1"/>
  <c r="B640" i="6"/>
  <c r="L640" i="6"/>
  <c r="D640" i="6"/>
  <c r="H640" i="6" s="1"/>
  <c r="K640" i="6"/>
  <c r="I641" i="6" l="1"/>
  <c r="J641" i="6" s="1"/>
  <c r="C641" i="6"/>
  <c r="E641" i="6"/>
  <c r="G641" i="6" s="1"/>
  <c r="D641" i="6"/>
  <c r="H641" i="6" s="1"/>
  <c r="B641" i="6"/>
  <c r="F641" i="6"/>
  <c r="A642" i="6" s="1"/>
  <c r="K641" i="6"/>
  <c r="L641" i="6"/>
  <c r="I642" i="6" l="1"/>
  <c r="J642" i="6" s="1"/>
  <c r="F642" i="6"/>
  <c r="A643" i="6" s="1"/>
  <c r="E642" i="6"/>
  <c r="G642" i="6" s="1"/>
  <c r="B642" i="6"/>
  <c r="D642" i="6"/>
  <c r="H642" i="6" s="1"/>
  <c r="K642" i="6"/>
  <c r="L642" i="6"/>
  <c r="C642" i="6"/>
  <c r="I643" i="6" l="1"/>
  <c r="J643" i="6" s="1"/>
  <c r="F643" i="6"/>
  <c r="A644" i="6" s="1"/>
  <c r="C643" i="6"/>
  <c r="D643" i="6"/>
  <c r="H643" i="6" s="1"/>
  <c r="E643" i="6"/>
  <c r="G643" i="6" s="1"/>
  <c r="B643" i="6"/>
  <c r="K643" i="6"/>
  <c r="L643" i="6"/>
  <c r="I644" i="6" l="1"/>
  <c r="J644" i="6" s="1"/>
  <c r="E644" i="6"/>
  <c r="G644" i="6" s="1"/>
  <c r="B644" i="6"/>
  <c r="D644" i="6"/>
  <c r="H644" i="6" s="1"/>
  <c r="F644" i="6"/>
  <c r="C644" i="6"/>
  <c r="L644" i="6"/>
  <c r="K644" i="6"/>
</calcChain>
</file>

<file path=xl/sharedStrings.xml><?xml version="1.0" encoding="utf-8"?>
<sst xmlns="http://schemas.openxmlformats.org/spreadsheetml/2006/main" count="119" uniqueCount="100">
  <si>
    <t>Refinance Calculator</t>
  </si>
  <si>
    <t>Current Loan Amount</t>
  </si>
  <si>
    <t>Current Term</t>
  </si>
  <si>
    <t>New Loan Amount</t>
  </si>
  <si>
    <t>New Interest Rate</t>
  </si>
  <si>
    <t>New Term</t>
  </si>
  <si>
    <t>Refinance Cost</t>
  </si>
  <si>
    <t>Cash out</t>
  </si>
  <si>
    <t>MONTHLY SAVINGS:</t>
  </si>
  <si>
    <t>NEW PAYMENT:</t>
  </si>
  <si>
    <t>BREAK EVEN:</t>
  </si>
  <si>
    <t>COSTS:</t>
  </si>
  <si>
    <t>LIFETIME SAVINGS:</t>
  </si>
  <si>
    <t>Amortization schedule breakdown</t>
  </si>
  <si>
    <t>Month</t>
  </si>
  <si>
    <t>Interest</t>
  </si>
  <si>
    <t>Principle</t>
  </si>
  <si>
    <t>Closing Balance</t>
  </si>
  <si>
    <t>Opening Balance</t>
  </si>
  <si>
    <t>Current Interest Rate</t>
  </si>
  <si>
    <t>Payment</t>
  </si>
  <si>
    <t>Cumulative Interest</t>
  </si>
  <si>
    <t>Cumulative Principle</t>
  </si>
  <si>
    <t>Cumulative Interest - Old</t>
  </si>
  <si>
    <t>Cumulative Principle - Old</t>
  </si>
  <si>
    <t>Cumulative Interest - New</t>
  </si>
  <si>
    <t>Cumulative Principle - New</t>
  </si>
  <si>
    <t>Today</t>
  </si>
  <si>
    <t>Current Month</t>
  </si>
  <si>
    <t>Current Year</t>
  </si>
  <si>
    <t>Difference - Year</t>
  </si>
  <si>
    <t>No. of months compounded</t>
  </si>
  <si>
    <t>Difference - Months</t>
  </si>
  <si>
    <t>Remaining Month in first year</t>
  </si>
  <si>
    <t>Refinancing could save you</t>
  </si>
  <si>
    <t>/month</t>
  </si>
  <si>
    <t>Row Labels</t>
  </si>
  <si>
    <t>Grand Total</t>
  </si>
  <si>
    <t>Max of Interest</t>
  </si>
  <si>
    <t>Max of Principle</t>
  </si>
  <si>
    <t>Max of Closing Balance</t>
  </si>
  <si>
    <t>Max of Cumulative Principle</t>
  </si>
  <si>
    <t>Max of Cumulative Interest</t>
  </si>
  <si>
    <t>Origination Date</t>
  </si>
  <si>
    <t>Amortization</t>
  </si>
  <si>
    <t>Principle vs. Interest</t>
  </si>
  <si>
    <t xml:space="preserve">Amortization schedule breakdown - New </t>
  </si>
  <si>
    <t>Monthly Savings</t>
  </si>
  <si>
    <t>Cumulative Savings</t>
  </si>
  <si>
    <t>Old Loan Calculation if it Exists</t>
  </si>
  <si>
    <t>OLD PAYMENT:</t>
  </si>
  <si>
    <t>End Date</t>
  </si>
  <si>
    <t>No. of Day (New loan)</t>
  </si>
  <si>
    <t>Remaining No. of Day</t>
  </si>
  <si>
    <t>Remaining No. of Months</t>
  </si>
  <si>
    <t>Start Date</t>
  </si>
  <si>
    <t>Months Compounded</t>
  </si>
  <si>
    <t>First Loan End</t>
  </si>
  <si>
    <t>Refinance loan end</t>
  </si>
  <si>
    <t>No. of months left for Old loan</t>
  </si>
  <si>
    <t>Total Savings / Break Even</t>
  </si>
  <si>
    <t>Net</t>
  </si>
  <si>
    <t>Max of Total Savings / Break Even</t>
  </si>
  <si>
    <t>No. of months remaining</t>
  </si>
  <si>
    <t>Try this refinance calculator to see if refinancing could be beneficial for you. Input the details of your current and prospective loans to estimate potential savings. This free tool can help you assess the advantages of refinancing, whether you want to lower your monthly payments, adjust your loan term, cancel mortgage insurance, switch loan programs, or reduce your interest rate to better align with your financial goals.</t>
  </si>
  <si>
    <t>What is mortgage refinancing?</t>
  </si>
  <si>
    <t>Refinancing a mortgage is the process of replacing your existing loan by acquiring a new home loan in its place that suits your financial circumstances. The funds from your new mortgage pay off your existing mortgage.
Just like acquiring your purchase mortgage, you’ll need to gather your supporting documentation such as your recent pay stubs, W-2s, and bank statements. But you’ll also need details about your existing mortgage, including the remaining loan amount, the number of years left to pay and the interest rate. This information helps you and your lender calculate the best refinance loan option for your financial situation.</t>
  </si>
  <si>
    <t>How much does it cost to refinance?</t>
  </si>
  <si>
    <t>Average refinance closing costs range between 2%-6% of the loan amount. Closing fees vary depending on your location, loan type, loan size and mortgage lender.
Most lenders allow you to roll the closing costs of the refinance into the balance of your new loan, increasing the total amount borrowed. Apply with at least three lenders and obtain official Loan Estimates to compare loan costs and savings. Work with lenders to complete a cost-benefit analysis and determine whether refinancing makes sense for you.</t>
  </si>
  <si>
    <t>Common refinance fees</t>
  </si>
  <si>
    <t>Here is a list of common refinance fees you might see associated with your refinance loan:
- Lender fees
- Credit report fee
- Appraisal fees
- Title search, title report, and title insurance policy
- Title/Attorney (at signing)
- Transfer taxes (state specific)
- Escrow fees
- Flood certification
- Recording fee
- Property tax fees
- Homeowners insurance fees
- Prepaid interest</t>
  </si>
  <si>
    <t>Estimated Payment</t>
  </si>
  <si>
    <t xml:space="preserve">          Loan amount</t>
  </si>
  <si>
    <t xml:space="preserve">          Interest Rate</t>
  </si>
  <si>
    <t xml:space="preserve">          Origination Year</t>
  </si>
  <si>
    <t xml:space="preserve">          Term</t>
  </si>
  <si>
    <t>New Loan</t>
  </si>
  <si>
    <t xml:space="preserve">          Loan Amount</t>
  </si>
  <si>
    <t xml:space="preserve">          Refinance Fees</t>
  </si>
  <si>
    <t xml:space="preserve">          Cash out</t>
  </si>
  <si>
    <t>Savings over time</t>
  </si>
  <si>
    <t>Type in all the highlighted spaces</t>
  </si>
  <si>
    <t>The calculator provides an intuitive layout for entering existing loan details, proposed new loan terms, and viewing estimated savings and other key financial metrics.</t>
  </si>
  <si>
    <t>Features of the Refinance Calculator:</t>
  </si>
  <si>
    <t>Explanation of the Refinance Calculator Interface:</t>
  </si>
  <si>
    <t>1.</t>
  </si>
  <si>
    <t>2.</t>
  </si>
  <si>
    <t>3.</t>
  </si>
  <si>
    <t>4.</t>
  </si>
  <si>
    <t>5.</t>
  </si>
  <si>
    <t>6.</t>
  </si>
  <si>
    <r>
      <t>Data-Validated Input Fields</t>
    </r>
    <r>
      <rPr>
        <sz val="11"/>
        <color theme="1"/>
        <rFont val="Cambria"/>
        <family val="1"/>
      </rPr>
      <t>: All the highlighted input fields are data validated to ensure accuracy and consistency in the data entered by the user. This minimizes errors and helps users input realistic values.</t>
    </r>
  </si>
  <si>
    <r>
      <t>Graphical Representation</t>
    </r>
    <r>
      <rPr>
        <sz val="11"/>
        <color theme="1"/>
        <rFont val="Cambria"/>
        <family val="1"/>
      </rPr>
      <t>: The calculator includes a graph linked to corresponding pivot tables, offering a visual representation of the financial impact over time. This graph helps users easily understand trends, break-even points, and potential savings associated with refinancing.</t>
    </r>
  </si>
  <si>
    <r>
      <t>Refinancing Fee Assumption</t>
    </r>
    <r>
      <rPr>
        <sz val="11"/>
        <color theme="1"/>
        <rFont val="Cambria"/>
        <family val="1"/>
      </rPr>
      <t>: The model assumes that any refinancing fee is paid upfront by the individual refinancing, rather than being added to the new loan. This provides a more conservative view of potential savings by not increasing the loan balance with additional costs.</t>
    </r>
  </si>
  <si>
    <r>
      <t>Current Loan Details</t>
    </r>
    <r>
      <rPr>
        <sz val="11"/>
        <color theme="1"/>
        <rFont val="Cambria"/>
        <family val="1"/>
      </rPr>
      <t xml:space="preserve">: Users can enter details of their existing loan, such as the </t>
    </r>
    <r>
      <rPr>
        <b/>
        <sz val="11"/>
        <color theme="1"/>
        <rFont val="Cambria"/>
        <family val="1"/>
      </rPr>
      <t>Current Loan Amount</t>
    </r>
    <r>
      <rPr>
        <sz val="11"/>
        <color theme="1"/>
        <rFont val="Cambria"/>
        <family val="1"/>
      </rPr>
      <t xml:space="preserve">, </t>
    </r>
    <r>
      <rPr>
        <b/>
        <sz val="11"/>
        <color theme="1"/>
        <rFont val="Cambria"/>
        <family val="1"/>
      </rPr>
      <t>Current Interest Rate</t>
    </r>
    <r>
      <rPr>
        <sz val="11"/>
        <color theme="1"/>
        <rFont val="Cambria"/>
        <family val="1"/>
      </rPr>
      <t xml:space="preserve">, </t>
    </r>
    <r>
      <rPr>
        <b/>
        <sz val="11"/>
        <color theme="1"/>
        <rFont val="Cambria"/>
        <family val="1"/>
      </rPr>
      <t>Current Term</t>
    </r>
    <r>
      <rPr>
        <sz val="11"/>
        <color theme="1"/>
        <rFont val="Cambria"/>
        <family val="1"/>
      </rPr>
      <t xml:space="preserve"> (in months), and </t>
    </r>
    <r>
      <rPr>
        <b/>
        <sz val="11"/>
        <color theme="1"/>
        <rFont val="Cambria"/>
        <family val="1"/>
      </rPr>
      <t>Origination Date</t>
    </r>
    <r>
      <rPr>
        <sz val="11"/>
        <color theme="1"/>
        <rFont val="Cambria"/>
        <family val="1"/>
      </rPr>
      <t>. These values help calculate the costs and payments on the current loan.</t>
    </r>
  </si>
  <si>
    <r>
      <t>New Loan Details</t>
    </r>
    <r>
      <rPr>
        <sz val="11"/>
        <color theme="1"/>
        <rFont val="Cambria"/>
        <family val="1"/>
      </rPr>
      <t xml:space="preserve">: In this section, users enter the proposed terms of the refinance, including </t>
    </r>
    <r>
      <rPr>
        <b/>
        <sz val="11"/>
        <color theme="1"/>
        <rFont val="Cambria"/>
        <family val="1"/>
      </rPr>
      <t>New Loan Amount</t>
    </r>
    <r>
      <rPr>
        <sz val="11"/>
        <color theme="1"/>
        <rFont val="Cambria"/>
        <family val="1"/>
      </rPr>
      <t xml:space="preserve">, </t>
    </r>
    <r>
      <rPr>
        <b/>
        <sz val="11"/>
        <color theme="1"/>
        <rFont val="Cambria"/>
        <family val="1"/>
      </rPr>
      <t>New Interest Rate</t>
    </r>
    <r>
      <rPr>
        <sz val="11"/>
        <color theme="1"/>
        <rFont val="Cambria"/>
        <family val="1"/>
      </rPr>
      <t xml:space="preserve">, </t>
    </r>
    <r>
      <rPr>
        <b/>
        <sz val="11"/>
        <color theme="1"/>
        <rFont val="Cambria"/>
        <family val="1"/>
      </rPr>
      <t>New Term</t>
    </r>
    <r>
      <rPr>
        <sz val="11"/>
        <color theme="1"/>
        <rFont val="Cambria"/>
        <family val="1"/>
      </rPr>
      <t xml:space="preserve">, </t>
    </r>
    <r>
      <rPr>
        <b/>
        <sz val="11"/>
        <color theme="1"/>
        <rFont val="Cambria"/>
        <family val="1"/>
      </rPr>
      <t>Refinance Cost</t>
    </r>
    <r>
      <rPr>
        <sz val="11"/>
        <color theme="1"/>
        <rFont val="Cambria"/>
        <family val="1"/>
      </rPr>
      <t xml:space="preserve">, and any </t>
    </r>
    <r>
      <rPr>
        <b/>
        <sz val="11"/>
        <color theme="1"/>
        <rFont val="Cambria"/>
        <family val="1"/>
      </rPr>
      <t>Cash Out</t>
    </r>
    <r>
      <rPr>
        <sz val="11"/>
        <color theme="1"/>
        <rFont val="Cambria"/>
        <family val="1"/>
      </rPr>
      <t xml:space="preserve"> amount (if applicable).</t>
    </r>
  </si>
  <si>
    <r>
      <t>Estimated Savings Display</t>
    </r>
    <r>
      <rPr>
        <sz val="11"/>
        <color theme="1"/>
        <rFont val="Cambria"/>
        <family val="1"/>
      </rPr>
      <t xml:space="preserve">: The main display area shows the </t>
    </r>
    <r>
      <rPr>
        <b/>
        <sz val="11"/>
        <color theme="1"/>
        <rFont val="Cambria"/>
        <family val="1"/>
      </rPr>
      <t>Monthly Savings</t>
    </r>
    <r>
      <rPr>
        <sz val="11"/>
        <color theme="1"/>
        <rFont val="Cambria"/>
        <family val="1"/>
      </rPr>
      <t xml:space="preserve"> from refinancing, as well as </t>
    </r>
    <r>
      <rPr>
        <b/>
        <sz val="11"/>
        <color theme="1"/>
        <rFont val="Cambria"/>
        <family val="1"/>
      </rPr>
      <t>New Payment</t>
    </r>
    <r>
      <rPr>
        <sz val="11"/>
        <color theme="1"/>
        <rFont val="Cambria"/>
        <family val="1"/>
      </rPr>
      <t xml:space="preserve"> and </t>
    </r>
    <r>
      <rPr>
        <b/>
        <sz val="11"/>
        <color theme="1"/>
        <rFont val="Cambria"/>
        <family val="1"/>
      </rPr>
      <t>Old Payment</t>
    </r>
    <r>
      <rPr>
        <sz val="11"/>
        <color theme="1"/>
        <rFont val="Cambria"/>
        <family val="1"/>
      </rPr>
      <t xml:space="preserve"> amounts. The </t>
    </r>
    <r>
      <rPr>
        <b/>
        <sz val="11"/>
        <color theme="1"/>
        <rFont val="Cambria"/>
        <family val="1"/>
      </rPr>
      <t>Break Even</t>
    </r>
    <r>
      <rPr>
        <sz val="11"/>
        <color theme="1"/>
        <rFont val="Cambria"/>
        <family val="1"/>
      </rPr>
      <t xml:space="preserve"> point (in months), </t>
    </r>
    <r>
      <rPr>
        <b/>
        <sz val="11"/>
        <color theme="1"/>
        <rFont val="Cambria"/>
        <family val="1"/>
      </rPr>
      <t>Total Costs</t>
    </r>
    <r>
      <rPr>
        <sz val="11"/>
        <color theme="1"/>
        <rFont val="Cambria"/>
        <family val="1"/>
      </rPr>
      <t xml:space="preserve">, and </t>
    </r>
    <r>
      <rPr>
        <b/>
        <sz val="11"/>
        <color theme="1"/>
        <rFont val="Cambria"/>
        <family val="1"/>
      </rPr>
      <t>Lifetime Savings</t>
    </r>
    <r>
      <rPr>
        <sz val="11"/>
        <color theme="1"/>
        <rFont val="Cambria"/>
        <family val="1"/>
      </rPr>
      <t xml:space="preserve"> are calculated and displayed to help users understand the overall financial benefit of refinancing.</t>
    </r>
  </si>
  <si>
    <r>
      <t>Refresh Button</t>
    </r>
    <r>
      <rPr>
        <sz val="11"/>
        <color theme="1"/>
        <rFont val="Cambria"/>
        <family val="1"/>
      </rPr>
      <t>: A refresh button is provided to quickly update calculations after making any changes to the input values.</t>
    </r>
  </si>
  <si>
    <r>
      <t>Graphical Breakdown</t>
    </r>
    <r>
      <rPr>
        <sz val="11"/>
        <color theme="1"/>
        <rFont val="Cambria"/>
        <family val="1"/>
      </rPr>
      <t>: The graph at the bottom of the interface visualizes total savings or break-even points over time. This allows users to see how the cumulative impact of refinancing grows over the loan term.</t>
    </r>
  </si>
  <si>
    <r>
      <t xml:space="preserve">The </t>
    </r>
    <r>
      <rPr>
        <b/>
        <sz val="11"/>
        <color theme="1"/>
        <rFont val="Cambria"/>
        <family val="1"/>
      </rPr>
      <t>Full_Report</t>
    </r>
    <r>
      <rPr>
        <sz val="11"/>
        <color theme="1"/>
        <rFont val="Cambria"/>
        <family val="1"/>
      </rPr>
      <t xml:space="preserve"> sheet provides a detailed breakdown of the refinance analysis, offering a comprehensive view of the financial implications of refinancing a loan. It consolidates key data points, calculations, and summaries to help users fully understand the costs, savings, and timeline associated with their refinance decision.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</si>
</sst>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 &quot;₹&quot;\ * #,##0.00_ ;_ &quot;₹&quot;\ * \-#,##0.00_ ;_ &quot;₹&quot;\ * &quot;-&quot;??_ ;_ @_ "/>
    <numFmt numFmtId="43" formatCode="_ * #,##0.00_ ;_ * \-#,##0.00_ ;_ * &quot;-&quot;??_ ;_ @_ "/>
    <numFmt numFmtId="164" formatCode="_ * #,##0_ ;_ * \-#,##0_ ;_ * &quot;-&quot;??_ ;_ @_ "/>
    <numFmt numFmtId="165" formatCode="_-[$$-409]* #,##0.00_ ;_-[$$-409]* \-#,##0.00\ ;_-[$$-409]* &quot;-&quot;??_ ;_-@_ "/>
  </numFmts>
  <fonts count="13" x14ac:knownFonts="1">
    <font>
      <sz val="11"/>
      <color theme="1"/>
      <name val="Calibri"/>
      <family val="2"/>
      <scheme val="minor"/>
    </font>
    <font>
      <sz val="11"/>
      <color theme="1"/>
      <name val="Cambria"/>
      <family val="1"/>
    </font>
    <font>
      <sz val="11"/>
      <color theme="1"/>
      <name val="Calibri"/>
      <family val="2"/>
      <scheme val="minor"/>
    </font>
    <font>
      <b/>
      <sz val="11"/>
      <color theme="1"/>
      <name val="Cambria"/>
      <family val="1"/>
    </font>
    <font>
      <sz val="20"/>
      <color theme="1"/>
      <name val="Cambria"/>
      <family val="1"/>
    </font>
    <font>
      <sz val="22"/>
      <color theme="1"/>
      <name val="Cambria"/>
      <family val="1"/>
    </font>
    <font>
      <sz val="18"/>
      <color theme="1"/>
      <name val="Cambria"/>
      <family val="1"/>
    </font>
    <font>
      <b/>
      <sz val="12"/>
      <color theme="1"/>
      <name val="Cambria"/>
      <family val="1"/>
    </font>
    <font>
      <b/>
      <sz val="16"/>
      <color theme="1"/>
      <name val="Cambria"/>
      <family val="1"/>
    </font>
    <font>
      <b/>
      <sz val="14"/>
      <color theme="1"/>
      <name val="Cambria"/>
      <family val="1"/>
    </font>
    <font>
      <b/>
      <sz val="18"/>
      <color theme="1"/>
      <name val="Cambria"/>
      <family val="1"/>
    </font>
    <font>
      <sz val="9"/>
      <color theme="1"/>
      <name val="Cambria"/>
      <family val="1"/>
    </font>
    <font>
      <b/>
      <sz val="22"/>
      <color rgb="FF339966"/>
      <name val="Calibri"/>
      <family val="2"/>
    </font>
  </fonts>
  <fills count="9">
    <fill>
      <patternFill patternType="none"/>
    </fill>
    <fill>
      <patternFill patternType="gray125"/>
    </fill>
    <fill>
      <patternFill patternType="solid">
        <fgColor rgb="FF92D050"/>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4">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cellStyleXfs>
  <cellXfs count="96">
    <xf numFmtId="0" fontId="0" fillId="0" borderId="0" xfId="0"/>
    <xf numFmtId="0" fontId="1" fillId="0" borderId="0" xfId="0" applyFont="1"/>
    <xf numFmtId="0" fontId="1" fillId="0" borderId="0" xfId="0" applyFont="1" applyAlignment="1">
      <alignment horizontal="right"/>
    </xf>
    <xf numFmtId="165" fontId="1" fillId="0" borderId="0" xfId="2" applyNumberFormat="1" applyFont="1"/>
    <xf numFmtId="0" fontId="3" fillId="0" borderId="0" xfId="0" applyFont="1"/>
    <xf numFmtId="165" fontId="1" fillId="0" borderId="0" xfId="0" applyNumberFormat="1" applyFont="1"/>
    <xf numFmtId="43" fontId="1" fillId="0" borderId="0" xfId="0" applyNumberFormat="1" applyFont="1"/>
    <xf numFmtId="43" fontId="1" fillId="0" borderId="0" xfId="1" applyFont="1"/>
    <xf numFmtId="164" fontId="1" fillId="0" borderId="0" xfId="1" applyNumberFormat="1" applyFont="1"/>
    <xf numFmtId="0" fontId="1" fillId="0" borderId="0" xfId="0" quotePrefix="1" applyFont="1"/>
    <xf numFmtId="14" fontId="1" fillId="0" borderId="0" xfId="0" applyNumberFormat="1" applyFont="1"/>
    <xf numFmtId="164" fontId="1" fillId="0" borderId="0" xfId="0" applyNumberFormat="1" applyFont="1"/>
    <xf numFmtId="0" fontId="0" fillId="0" borderId="0" xfId="0" pivotButton="1"/>
    <xf numFmtId="0" fontId="0" fillId="0" borderId="0" xfId="0" applyAlignment="1">
      <alignment horizontal="left"/>
    </xf>
    <xf numFmtId="0" fontId="1" fillId="0" borderId="2" xfId="0" applyFont="1" applyBorder="1"/>
    <xf numFmtId="43" fontId="1" fillId="0" borderId="0" xfId="1" quotePrefix="1" applyFont="1" applyFill="1"/>
    <xf numFmtId="0" fontId="1" fillId="3" borderId="0" xfId="0" applyFont="1" applyFill="1"/>
    <xf numFmtId="0" fontId="1" fillId="3" borderId="2" xfId="0" applyFont="1" applyFill="1" applyBorder="1"/>
    <xf numFmtId="0" fontId="1" fillId="4" borderId="0" xfId="0" applyFont="1" applyFill="1"/>
    <xf numFmtId="0" fontId="3" fillId="4" borderId="0" xfId="0" applyFont="1" applyFill="1"/>
    <xf numFmtId="0" fontId="1" fillId="5" borderId="0" xfId="0" applyFont="1" applyFill="1"/>
    <xf numFmtId="0" fontId="1" fillId="5" borderId="2" xfId="0" applyFont="1" applyFill="1" applyBorder="1"/>
    <xf numFmtId="0" fontId="1" fillId="0" borderId="3" xfId="0" applyFont="1" applyBorder="1"/>
    <xf numFmtId="0" fontId="1" fillId="0" borderId="4" xfId="0" applyFont="1" applyBorder="1"/>
    <xf numFmtId="0" fontId="1" fillId="0" borderId="5" xfId="0" applyFont="1" applyBorder="1"/>
    <xf numFmtId="14" fontId="1" fillId="0" borderId="6" xfId="0" applyNumberFormat="1" applyFont="1" applyBorder="1"/>
    <xf numFmtId="164" fontId="1" fillId="0" borderId="6" xfId="0" applyNumberFormat="1" applyFont="1" applyBorder="1"/>
    <xf numFmtId="164" fontId="1" fillId="0" borderId="6" xfId="1" applyNumberFormat="1" applyFont="1" applyBorder="1"/>
    <xf numFmtId="0" fontId="1" fillId="0" borderId="6" xfId="0" applyFont="1" applyBorder="1"/>
    <xf numFmtId="165" fontId="1" fillId="0" borderId="6" xfId="0" applyNumberFormat="1" applyFont="1" applyBorder="1"/>
    <xf numFmtId="0" fontId="1" fillId="0" borderId="7" xfId="0" applyFont="1" applyBorder="1"/>
    <xf numFmtId="0" fontId="1" fillId="0" borderId="8" xfId="0" applyFont="1" applyBorder="1"/>
    <xf numFmtId="43" fontId="1" fillId="2" borderId="6" xfId="1" quotePrefix="1" applyFont="1" applyFill="1" applyBorder="1"/>
    <xf numFmtId="43" fontId="1" fillId="0" borderId="6" xfId="1" applyFont="1" applyBorder="1"/>
    <xf numFmtId="0" fontId="1" fillId="0" borderId="5" xfId="0" applyFont="1" applyBorder="1" applyAlignment="1">
      <alignment horizontal="right"/>
    </xf>
    <xf numFmtId="43" fontId="1" fillId="0" borderId="0" xfId="0" applyNumberFormat="1" applyFont="1" applyAlignment="1">
      <alignment horizontal="right"/>
    </xf>
    <xf numFmtId="165" fontId="1" fillId="0" borderId="0" xfId="0" applyNumberFormat="1" applyFont="1" applyAlignment="1">
      <alignment horizontal="right"/>
    </xf>
    <xf numFmtId="43" fontId="1" fillId="0" borderId="0" xfId="1" applyFont="1" applyAlignment="1">
      <alignment horizontal="right"/>
    </xf>
    <xf numFmtId="0" fontId="1" fillId="0" borderId="0" xfId="0" applyFont="1" applyAlignment="1">
      <alignment wrapText="1"/>
    </xf>
    <xf numFmtId="0" fontId="1" fillId="0" borderId="0" xfId="0" applyFont="1" applyAlignment="1">
      <alignment horizontal="center" vertical="center" wrapText="1"/>
    </xf>
    <xf numFmtId="0" fontId="1" fillId="7" borderId="0" xfId="0" applyFont="1" applyFill="1"/>
    <xf numFmtId="0" fontId="5" fillId="0" borderId="10" xfId="0" applyFont="1" applyBorder="1" applyAlignment="1">
      <alignment horizontal="center" vertical="center"/>
    </xf>
    <xf numFmtId="0" fontId="1" fillId="0" borderId="10" xfId="0" applyFont="1" applyBorder="1"/>
    <xf numFmtId="0" fontId="1" fillId="0" borderId="8" xfId="0" quotePrefix="1" applyFont="1" applyBorder="1"/>
    <xf numFmtId="0" fontId="3" fillId="0" borderId="9" xfId="0" applyFont="1" applyBorder="1"/>
    <xf numFmtId="0" fontId="3" fillId="0" borderId="4" xfId="0" applyFont="1" applyBorder="1"/>
    <xf numFmtId="165" fontId="1" fillId="0" borderId="6" xfId="1" applyNumberFormat="1" applyFont="1" applyFill="1" applyBorder="1"/>
    <xf numFmtId="0" fontId="3" fillId="0" borderId="6" xfId="0" applyFont="1" applyBorder="1"/>
    <xf numFmtId="9" fontId="1" fillId="0" borderId="6" xfId="3" applyFont="1" applyFill="1" applyBorder="1"/>
    <xf numFmtId="164" fontId="1" fillId="0" borderId="6" xfId="1" applyNumberFormat="1" applyFont="1" applyFill="1" applyBorder="1"/>
    <xf numFmtId="0" fontId="1" fillId="0" borderId="9" xfId="0" applyFont="1" applyBorder="1"/>
    <xf numFmtId="0" fontId="1" fillId="0" borderId="0" xfId="0" applyFont="1" applyAlignment="1">
      <alignment horizontal="left" vertical="top" wrapText="1"/>
    </xf>
    <xf numFmtId="165" fontId="3" fillId="0" borderId="0" xfId="0" applyNumberFormat="1" applyFont="1"/>
    <xf numFmtId="165" fontId="3" fillId="0" borderId="0" xfId="2" applyNumberFormat="1" applyFont="1"/>
    <xf numFmtId="164" fontId="3" fillId="0" borderId="0" xfId="1" applyNumberFormat="1" applyFont="1"/>
    <xf numFmtId="43" fontId="3" fillId="0" borderId="0" xfId="0" applyNumberFormat="1" applyFont="1"/>
    <xf numFmtId="0" fontId="3" fillId="0" borderId="0" xfId="0" applyFont="1" applyAlignment="1">
      <alignment horizontal="right"/>
    </xf>
    <xf numFmtId="0" fontId="1" fillId="0" borderId="0" xfId="0" applyFont="1" applyAlignment="1">
      <alignment horizontal="left" vertical="top"/>
    </xf>
    <xf numFmtId="0" fontId="9" fillId="0" borderId="0" xfId="0" applyFont="1"/>
    <xf numFmtId="0" fontId="10" fillId="0" borderId="0" xfId="0" applyFont="1"/>
    <xf numFmtId="0" fontId="8" fillId="0" borderId="3" xfId="0" applyFont="1" applyBorder="1"/>
    <xf numFmtId="165" fontId="6" fillId="0" borderId="0" xfId="0" applyNumberFormat="1" applyFont="1"/>
    <xf numFmtId="0" fontId="1" fillId="0" borderId="2" xfId="0" quotePrefix="1" applyFont="1" applyBorder="1"/>
    <xf numFmtId="165" fontId="1" fillId="0" borderId="2" xfId="2" applyNumberFormat="1" applyFont="1" applyBorder="1"/>
    <xf numFmtId="165" fontId="3" fillId="0" borderId="2" xfId="0" applyNumberFormat="1" applyFont="1" applyBorder="1"/>
    <xf numFmtId="9" fontId="3" fillId="0" borderId="2" xfId="0" applyNumberFormat="1" applyFont="1" applyBorder="1"/>
    <xf numFmtId="0" fontId="3" fillId="0" borderId="2" xfId="0" applyFont="1" applyBorder="1"/>
    <xf numFmtId="165" fontId="3" fillId="8" borderId="1" xfId="1" applyNumberFormat="1" applyFont="1" applyFill="1" applyBorder="1" applyProtection="1">
      <protection locked="0"/>
    </xf>
    <xf numFmtId="164" fontId="3" fillId="8" borderId="1" xfId="1" applyNumberFormat="1" applyFont="1" applyFill="1" applyBorder="1" applyProtection="1">
      <protection locked="0"/>
    </xf>
    <xf numFmtId="9" fontId="3" fillId="8" borderId="1" xfId="3" applyFont="1" applyFill="1" applyBorder="1" applyProtection="1">
      <protection locked="0"/>
    </xf>
    <xf numFmtId="14" fontId="3" fillId="8" borderId="1" xfId="0" applyNumberFormat="1" applyFont="1" applyFill="1" applyBorder="1" applyProtection="1">
      <protection locked="0"/>
    </xf>
    <xf numFmtId="0" fontId="1" fillId="0" borderId="0" xfId="0" quotePrefix="1" applyFont="1" applyAlignment="1">
      <alignment horizontal="left" vertical="top"/>
    </xf>
    <xf numFmtId="0" fontId="3" fillId="0" borderId="0" xfId="0" applyFont="1" applyAlignment="1">
      <alignment horizontal="left" vertical="top"/>
    </xf>
    <xf numFmtId="0" fontId="3" fillId="0" borderId="0" xfId="0" applyFont="1" applyAlignment="1">
      <alignment horizontal="left" vertical="top" wrapText="1"/>
    </xf>
    <xf numFmtId="0" fontId="1" fillId="0" borderId="0" xfId="0" applyFont="1" applyAlignment="1">
      <alignment horizontal="center"/>
    </xf>
    <xf numFmtId="0" fontId="4" fillId="6" borderId="0" xfId="0" applyFont="1" applyFill="1" applyAlignment="1">
      <alignment horizontal="center" vertical="center"/>
    </xf>
    <xf numFmtId="0" fontId="7" fillId="0" borderId="3" xfId="0" applyFont="1" applyBorder="1" applyAlignment="1">
      <alignment horizontal="center"/>
    </xf>
    <xf numFmtId="0" fontId="7" fillId="0" borderId="9" xfId="0" applyFont="1" applyBorder="1" applyAlignment="1">
      <alignment horizontal="center"/>
    </xf>
    <xf numFmtId="0" fontId="7" fillId="0" borderId="4" xfId="0" applyFont="1" applyBorder="1" applyAlignment="1">
      <alignment horizontal="center"/>
    </xf>
    <xf numFmtId="165" fontId="5" fillId="0" borderId="5" xfId="0" applyNumberFormat="1" applyFont="1" applyBorder="1" applyAlignment="1">
      <alignment horizontal="center" vertical="center"/>
    </xf>
    <xf numFmtId="165" fontId="5" fillId="0" borderId="0" xfId="0" applyNumberFormat="1" applyFont="1" applyAlignment="1">
      <alignment horizontal="center" vertical="center"/>
    </xf>
    <xf numFmtId="165" fontId="5" fillId="0" borderId="6" xfId="0" applyNumberFormat="1" applyFont="1" applyBorder="1" applyAlignment="1">
      <alignment horizontal="center" vertical="center"/>
    </xf>
    <xf numFmtId="0" fontId="1" fillId="0" borderId="0" xfId="0" applyFont="1" applyAlignment="1">
      <alignment horizontal="center" vertical="center" wrapText="1"/>
    </xf>
    <xf numFmtId="0" fontId="8" fillId="0" borderId="3" xfId="0" applyFont="1" applyBorder="1" applyAlignment="1">
      <alignment horizontal="left" vertical="top"/>
    </xf>
    <xf numFmtId="0" fontId="8" fillId="0" borderId="9" xfId="0" applyFont="1" applyBorder="1" applyAlignment="1">
      <alignment horizontal="left" vertical="top"/>
    </xf>
    <xf numFmtId="0" fontId="8" fillId="0" borderId="4" xfId="0" applyFont="1" applyBorder="1" applyAlignment="1">
      <alignment horizontal="left" vertical="top"/>
    </xf>
    <xf numFmtId="0" fontId="1" fillId="0" borderId="7" xfId="0" applyFont="1" applyBorder="1" applyAlignment="1">
      <alignment horizontal="left" vertical="top" wrapText="1"/>
    </xf>
    <xf numFmtId="0" fontId="1" fillId="0" borderId="10" xfId="0" applyFont="1" applyBorder="1" applyAlignment="1">
      <alignment horizontal="left" vertical="top" wrapText="1"/>
    </xf>
    <xf numFmtId="0" fontId="1" fillId="0" borderId="8" xfId="0" applyFont="1" applyBorder="1" applyAlignment="1">
      <alignment horizontal="left" vertical="top" wrapText="1"/>
    </xf>
    <xf numFmtId="0" fontId="11" fillId="0" borderId="3" xfId="0" quotePrefix="1" applyFont="1" applyBorder="1" applyAlignment="1">
      <alignment horizontal="left"/>
    </xf>
    <xf numFmtId="0" fontId="11" fillId="0" borderId="9" xfId="0" applyFont="1" applyBorder="1" applyAlignment="1">
      <alignment horizontal="left"/>
    </xf>
    <xf numFmtId="0" fontId="11" fillId="0" borderId="4" xfId="0" applyFont="1" applyBorder="1" applyAlignment="1">
      <alignment horizontal="left"/>
    </xf>
    <xf numFmtId="0" fontId="1" fillId="0" borderId="5" xfId="0" applyFont="1" applyBorder="1" applyAlignment="1">
      <alignment horizontal="left" vertical="top" wrapText="1"/>
    </xf>
    <xf numFmtId="0" fontId="1" fillId="0" borderId="0" xfId="0" applyFont="1" applyAlignment="1">
      <alignment horizontal="left" vertical="top"/>
    </xf>
    <xf numFmtId="0" fontId="1" fillId="0" borderId="6" xfId="0" applyFont="1" applyBorder="1" applyAlignment="1">
      <alignment horizontal="left" vertical="top"/>
    </xf>
    <xf numFmtId="0" fontId="1" fillId="0" borderId="0" xfId="0" applyFont="1" applyAlignment="1">
      <alignment horizontal="left" vertical="top" wrapText="1"/>
    </xf>
  </cellXfs>
  <cellStyles count="4">
    <cellStyle name="Comma" xfId="1" builtinId="3"/>
    <cellStyle name="Currency" xfId="2" builtinId="4"/>
    <cellStyle name="Normal" xfId="0" builtinId="0"/>
    <cellStyle name="Percent" xfId="3" builtinId="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[Refinance Calculator.xlsm]Internal Working!PivotTable2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'Internal Working'!$O$5</c:f>
              <c:strCache>
                <c:ptCount val="1"/>
                <c:pt idx="0">
                  <c:v>Total</c:v>
                </c:pt>
              </c:strCache>
            </c:strRef>
          </c:tx>
          <c:spPr>
            <a:ln w="28575" cap="rnd">
              <a:solidFill>
                <a:schemeClr val="accent1"/>
              </a:solidFill>
              <a:round/>
            </a:ln>
            <a:effectLst/>
          </c:spPr>
          <c:marker>
            <c:symbol val="none"/>
          </c:marker>
          <c:cat>
            <c:strRef>
              <c:f>'Internal Working'!$N$6:$N$42</c:f>
              <c:strCache>
                <c:ptCount val="3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strCache>
            </c:strRef>
          </c:cat>
          <c:val>
            <c:numRef>
              <c:f>'Internal Working'!$O$6:$O$42</c:f>
              <c:numCache>
                <c:formatCode>General</c:formatCode>
                <c:ptCount val="37"/>
                <c:pt idx="0">
                  <c:v>33.802998325566136</c:v>
                </c:pt>
                <c:pt idx="1">
                  <c:v>67.605996651132273</c:v>
                </c:pt>
                <c:pt idx="2">
                  <c:v>101.40899497669841</c:v>
                </c:pt>
                <c:pt idx="3">
                  <c:v>135.21199330226455</c:v>
                </c:pt>
                <c:pt idx="4">
                  <c:v>169.01499162783068</c:v>
                </c:pt>
                <c:pt idx="5">
                  <c:v>202.81798995339682</c:v>
                </c:pt>
                <c:pt idx="6">
                  <c:v>236.62098827896295</c:v>
                </c:pt>
                <c:pt idx="7">
                  <c:v>270.42398660452909</c:v>
                </c:pt>
                <c:pt idx="8">
                  <c:v>304.22698493009523</c:v>
                </c:pt>
                <c:pt idx="9">
                  <c:v>338.02998325566136</c:v>
                </c:pt>
                <c:pt idx="10">
                  <c:v>371.8329815812275</c:v>
                </c:pt>
                <c:pt idx="11">
                  <c:v>405.63597990679364</c:v>
                </c:pt>
                <c:pt idx="12">
                  <c:v>439.43897823235977</c:v>
                </c:pt>
                <c:pt idx="13">
                  <c:v>473.24197655792591</c:v>
                </c:pt>
                <c:pt idx="14">
                  <c:v>507.04497488349205</c:v>
                </c:pt>
                <c:pt idx="15">
                  <c:v>540.84797320905818</c:v>
                </c:pt>
                <c:pt idx="16">
                  <c:v>574.65097153462432</c:v>
                </c:pt>
                <c:pt idx="17">
                  <c:v>608.45396986019045</c:v>
                </c:pt>
                <c:pt idx="18">
                  <c:v>642.25696818575659</c:v>
                </c:pt>
                <c:pt idx="19">
                  <c:v>676.05996651132273</c:v>
                </c:pt>
                <c:pt idx="20">
                  <c:v>-564.05457830575529</c:v>
                </c:pt>
                <c:pt idx="21">
                  <c:v>-1128.1091566115106</c:v>
                </c:pt>
                <c:pt idx="22">
                  <c:v>-1692.1637349172659</c:v>
                </c:pt>
                <c:pt idx="23">
                  <c:v>-2256.2183132230211</c:v>
                </c:pt>
                <c:pt idx="24">
                  <c:v>-2820.2728915287762</c:v>
                </c:pt>
                <c:pt idx="25">
                  <c:v>-3384.3274698345313</c:v>
                </c:pt>
                <c:pt idx="26">
                  <c:v>-3948.3820481402863</c:v>
                </c:pt>
                <c:pt idx="27">
                  <c:v>-4512.4366264460414</c:v>
                </c:pt>
                <c:pt idx="28">
                  <c:v>-5076.4912047517964</c:v>
                </c:pt>
                <c:pt idx="29">
                  <c:v>-5640.5457830575515</c:v>
                </c:pt>
                <c:pt idx="30">
                  <c:v>-6204.6003613633065</c:v>
                </c:pt>
                <c:pt idx="31">
                  <c:v>-6768.6549396690616</c:v>
                </c:pt>
                <c:pt idx="32">
                  <c:v>-7332.7095179748167</c:v>
                </c:pt>
                <c:pt idx="33">
                  <c:v>-7896.7640962805717</c:v>
                </c:pt>
                <c:pt idx="34">
                  <c:v>-8460.8186745863277</c:v>
                </c:pt>
                <c:pt idx="35">
                  <c:v>-9024.8732528920827</c:v>
                </c:pt>
                <c:pt idx="36">
                  <c:v>0</c:v>
                </c:pt>
              </c:numCache>
            </c:numRef>
          </c:val>
          <c:smooth val="0"/>
          <c:extLst>
            <c:ext xmlns:c16="http://schemas.microsoft.com/office/drawing/2014/chart" uri="{C3380CC4-5D6E-409C-BE32-E72D297353CC}">
              <c16:uniqueId val="{00000000-D859-4158-BCEB-5AAD0F041604}"/>
            </c:ext>
          </c:extLst>
        </c:ser>
        <c:dLbls>
          <c:showLegendKey val="0"/>
          <c:showVal val="0"/>
          <c:showCatName val="0"/>
          <c:showSerName val="0"/>
          <c:showPercent val="0"/>
          <c:showBubbleSize val="0"/>
        </c:dLbls>
        <c:smooth val="0"/>
        <c:axId val="1729056127"/>
        <c:axId val="1729056607"/>
      </c:lineChart>
      <c:catAx>
        <c:axId val="1729056127"/>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9056607"/>
        <c:crosses val="max"/>
        <c:auto val="1"/>
        <c:lblAlgn val="ctr"/>
        <c:lblOffset val="100"/>
        <c:noMultiLvlLbl val="0"/>
      </c:catAx>
      <c:valAx>
        <c:axId val="1729056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9056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[Refinance Calculator.xlsm]Full_Report!PivotTable3</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35870516185477"/>
          <c:y val="0.10546077573636629"/>
          <c:w val="0.6575576051589056"/>
          <c:h val="0.7134375911344415"/>
        </c:manualLayout>
      </c:layout>
      <c:lineChart>
        <c:grouping val="standard"/>
        <c:varyColors val="0"/>
        <c:ser>
          <c:idx val="0"/>
          <c:order val="0"/>
          <c:tx>
            <c:strRef>
              <c:f>Full_Report!$K$86</c:f>
              <c:strCache>
                <c:ptCount val="1"/>
                <c:pt idx="0">
                  <c:v>Max of Cumulative Principle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Full_Report!$J$87:$J$124</c:f>
              <c:strCache>
                <c:ptCount val="3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strCache>
            </c:strRef>
          </c:cat>
          <c:val>
            <c:numRef>
              <c:f>Full_Report!$K$87:$K$124</c:f>
              <c:numCache>
                <c:formatCode>General</c:formatCode>
                <c:ptCount val="37"/>
                <c:pt idx="0">
                  <c:v>464.28619625702385</c:v>
                </c:pt>
                <c:pt idx="1">
                  <c:v>933.21525447661793</c:v>
                </c:pt>
                <c:pt idx="2">
                  <c:v>1406.833603278408</c:v>
                </c:pt>
                <c:pt idx="3">
                  <c:v>1885.1881355682158</c:v>
                </c:pt>
                <c:pt idx="4">
                  <c:v>2368.3262131809215</c:v>
                </c:pt>
                <c:pt idx="5">
                  <c:v>2856.2956715697546</c:v>
                </c:pt>
                <c:pt idx="6">
                  <c:v>3349.1448245424763</c:v>
                </c:pt>
                <c:pt idx="7">
                  <c:v>3846.922469044925</c:v>
                </c:pt>
                <c:pt idx="8">
                  <c:v>4349.6778899923984</c:v>
                </c:pt>
                <c:pt idx="9">
                  <c:v>4857.4608651493463</c:v>
                </c:pt>
                <c:pt idx="10">
                  <c:v>5370.3216700578632</c:v>
                </c:pt>
                <c:pt idx="11">
                  <c:v>5888.3110830154656</c:v>
                </c:pt>
                <c:pt idx="12">
                  <c:v>6411.4803901026444</c:v>
                </c:pt>
                <c:pt idx="13">
                  <c:v>6939.8813902606944</c:v>
                </c:pt>
                <c:pt idx="14">
                  <c:v>7473.5664004203254</c:v>
                </c:pt>
                <c:pt idx="15">
                  <c:v>8012.5882606815521</c:v>
                </c:pt>
                <c:pt idx="16">
                  <c:v>8557.0003395453914</c:v>
                </c:pt>
                <c:pt idx="17">
                  <c:v>9106.85653919787</c:v>
                </c:pt>
                <c:pt idx="18">
                  <c:v>9662.2113008468732</c:v>
                </c:pt>
                <c:pt idx="19">
                  <c:v>10223.119610112366</c:v>
                </c:pt>
                <c:pt idx="20">
                  <c:v>10789.637002470514</c:v>
                </c:pt>
                <c:pt idx="21">
                  <c:v>11361.819568752242</c:v>
                </c:pt>
                <c:pt idx="22">
                  <c:v>11939.723960696789</c:v>
                </c:pt>
                <c:pt idx="23">
                  <c:v>12523.40739656078</c:v>
                </c:pt>
                <c:pt idx="24">
                  <c:v>13112.927666783413</c:v>
                </c:pt>
                <c:pt idx="25">
                  <c:v>13708.343139708271</c:v>
                </c:pt>
                <c:pt idx="26">
                  <c:v>14309.712767362378</c:v>
                </c:pt>
                <c:pt idx="27">
                  <c:v>14917.096091293026</c:v>
                </c:pt>
                <c:pt idx="28">
                  <c:v>15530.55324846298</c:v>
                </c:pt>
                <c:pt idx="29">
                  <c:v>16150.144977204634</c:v>
                </c:pt>
                <c:pt idx="30">
                  <c:v>16775.932623233704</c:v>
                </c:pt>
                <c:pt idx="31">
                  <c:v>17407.978145723064</c:v>
                </c:pt>
                <c:pt idx="32">
                  <c:v>18046.344123437317</c:v>
                </c:pt>
                <c:pt idx="33">
                  <c:v>18691.093760928714</c:v>
                </c:pt>
                <c:pt idx="34">
                  <c:v>19342.290894795024</c:v>
                </c:pt>
                <c:pt idx="35">
                  <c:v>19999.999999999996</c:v>
                </c:pt>
                <c:pt idx="36">
                  <c:v>0</c:v>
                </c:pt>
              </c:numCache>
            </c:numRef>
          </c:val>
          <c:smooth val="0"/>
          <c:extLst>
            <c:ext xmlns:c16="http://schemas.microsoft.com/office/drawing/2014/chart" uri="{C3380CC4-5D6E-409C-BE32-E72D297353CC}">
              <c16:uniqueId val="{00000000-CA3A-41CD-916E-52F573BAAD1C}"/>
            </c:ext>
          </c:extLst>
        </c:ser>
        <c:ser>
          <c:idx val="1"/>
          <c:order val="1"/>
          <c:tx>
            <c:strRef>
              <c:f>Full_Report!$L$86</c:f>
              <c:strCache>
                <c:ptCount val="1"/>
                <c:pt idx="0">
                  <c:v>Max of Cumulative Interest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Full_Report!$J$87:$J$124</c:f>
              <c:strCache>
                <c:ptCount val="3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strCache>
            </c:strRef>
          </c:cat>
          <c:val>
            <c:numRef>
              <c:f>Full_Report!$L$87:$L$124</c:f>
              <c:numCache>
                <c:formatCode>General</c:formatCode>
                <c:ptCount val="37"/>
                <c:pt idx="0">
                  <c:v>200.00000000000006</c:v>
                </c:pt>
                <c:pt idx="1">
                  <c:v>395.35713803742993</c:v>
                </c:pt>
                <c:pt idx="2">
                  <c:v>586.02498549266386</c:v>
                </c:pt>
                <c:pt idx="3">
                  <c:v>771.95664945987983</c:v>
                </c:pt>
                <c:pt idx="4">
                  <c:v>953.10476810419777</c:v>
                </c:pt>
                <c:pt idx="5">
                  <c:v>1129.4215059723888</c:v>
                </c:pt>
                <c:pt idx="6">
                  <c:v>1300.8585492566913</c:v>
                </c:pt>
                <c:pt idx="7">
                  <c:v>1467.3671010112666</c:v>
                </c:pt>
                <c:pt idx="8">
                  <c:v>1628.8978763208174</c:v>
                </c:pt>
                <c:pt idx="9">
                  <c:v>1785.4010974208934</c:v>
                </c:pt>
                <c:pt idx="10">
                  <c:v>1936.8264887693999</c:v>
                </c:pt>
                <c:pt idx="11">
                  <c:v>2083.1232720688213</c:v>
                </c:pt>
                <c:pt idx="12">
                  <c:v>2224.2401612386666</c:v>
                </c:pt>
                <c:pt idx="13">
                  <c:v>2360.1253573376403</c:v>
                </c:pt>
                <c:pt idx="14">
                  <c:v>2490.7265434350334</c:v>
                </c:pt>
                <c:pt idx="15">
                  <c:v>2615.9908794308303</c:v>
                </c:pt>
                <c:pt idx="16">
                  <c:v>2735.8649968240147</c:v>
                </c:pt>
                <c:pt idx="17">
                  <c:v>2850.2949934285607</c:v>
                </c:pt>
                <c:pt idx="18">
                  <c:v>2959.2264280365821</c:v>
                </c:pt>
                <c:pt idx="19">
                  <c:v>3062.6043150281134</c:v>
                </c:pt>
                <c:pt idx="20">
                  <c:v>3160.3731189269897</c:v>
                </c:pt>
                <c:pt idx="21">
                  <c:v>3252.4767489022847</c:v>
                </c:pt>
                <c:pt idx="22">
                  <c:v>3338.8585532147627</c:v>
                </c:pt>
                <c:pt idx="23">
                  <c:v>3419.4613136077946</c:v>
                </c:pt>
                <c:pt idx="24">
                  <c:v>3494.2272396421868</c:v>
                </c:pt>
                <c:pt idx="25">
                  <c:v>3563.0979629743524</c:v>
                </c:pt>
                <c:pt idx="26">
                  <c:v>3626.0145315772697</c:v>
                </c:pt>
                <c:pt idx="27">
                  <c:v>3682.9174039036461</c:v>
                </c:pt>
                <c:pt idx="28">
                  <c:v>3733.7464429907159</c:v>
                </c:pt>
                <c:pt idx="29">
                  <c:v>3778.4409105060863</c:v>
                </c:pt>
                <c:pt idx="30">
                  <c:v>3816.93946073404</c:v>
                </c:pt>
                <c:pt idx="31">
                  <c:v>3849.1801345017029</c:v>
                </c:pt>
                <c:pt idx="32">
                  <c:v>3875.1003530444723</c:v>
                </c:pt>
                <c:pt idx="33">
                  <c:v>3894.6369118100993</c:v>
                </c:pt>
                <c:pt idx="34">
                  <c:v>3907.7259742008123</c:v>
                </c:pt>
                <c:pt idx="35">
                  <c:v>3914.3030652528623</c:v>
                </c:pt>
                <c:pt idx="36">
                  <c:v>0</c:v>
                </c:pt>
              </c:numCache>
            </c:numRef>
          </c:val>
          <c:smooth val="0"/>
          <c:extLst>
            <c:ext xmlns:c16="http://schemas.microsoft.com/office/drawing/2014/chart" uri="{C3380CC4-5D6E-409C-BE32-E72D297353CC}">
              <c16:uniqueId val="{00000001-CA3A-41CD-916E-52F573BAAD1C}"/>
            </c:ext>
          </c:extLst>
        </c:ser>
        <c:ser>
          <c:idx val="2"/>
          <c:order val="2"/>
          <c:tx>
            <c:strRef>
              <c:f>Full_Report!$M$86</c:f>
              <c:strCache>
                <c:ptCount val="1"/>
                <c:pt idx="0">
                  <c:v>Max of Closing Balance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Full_Report!$J$87:$J$124</c:f>
              <c:strCache>
                <c:ptCount val="3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strCache>
            </c:strRef>
          </c:cat>
          <c:val>
            <c:numRef>
              <c:f>Full_Report!$M$87:$M$124</c:f>
              <c:numCache>
                <c:formatCode>General</c:formatCode>
                <c:ptCount val="37"/>
                <c:pt idx="0">
                  <c:v>19535.713803742976</c:v>
                </c:pt>
                <c:pt idx="1">
                  <c:v>19066.784745523382</c:v>
                </c:pt>
                <c:pt idx="2">
                  <c:v>18593.166396721594</c:v>
                </c:pt>
                <c:pt idx="3">
                  <c:v>18114.811864431787</c:v>
                </c:pt>
                <c:pt idx="4">
                  <c:v>17631.673786819083</c:v>
                </c:pt>
                <c:pt idx="5">
                  <c:v>17143.704328430249</c:v>
                </c:pt>
                <c:pt idx="6">
                  <c:v>16650.855175457527</c:v>
                </c:pt>
                <c:pt idx="7">
                  <c:v>16153.077530955079</c:v>
                </c:pt>
                <c:pt idx="8">
                  <c:v>15650.322110007606</c:v>
                </c:pt>
                <c:pt idx="9">
                  <c:v>15142.539134850658</c:v>
                </c:pt>
                <c:pt idx="10">
                  <c:v>14629.67832994214</c:v>
                </c:pt>
                <c:pt idx="11">
                  <c:v>14111.688916984538</c:v>
                </c:pt>
                <c:pt idx="12">
                  <c:v>13588.519609897359</c:v>
                </c:pt>
                <c:pt idx="13">
                  <c:v>13060.118609739309</c:v>
                </c:pt>
                <c:pt idx="14">
                  <c:v>12526.433599579679</c:v>
                </c:pt>
                <c:pt idx="15">
                  <c:v>11987.411739318452</c:v>
                </c:pt>
                <c:pt idx="16">
                  <c:v>11442.999660454612</c:v>
                </c:pt>
                <c:pt idx="17">
                  <c:v>10893.143460802134</c:v>
                </c:pt>
                <c:pt idx="18">
                  <c:v>10337.78869915313</c:v>
                </c:pt>
                <c:pt idx="19">
                  <c:v>9776.8803898876376</c:v>
                </c:pt>
                <c:pt idx="20">
                  <c:v>9210.3629975294898</c:v>
                </c:pt>
                <c:pt idx="21">
                  <c:v>8638.1804312477616</c:v>
                </c:pt>
                <c:pt idx="22">
                  <c:v>8060.2760393032149</c:v>
                </c:pt>
                <c:pt idx="23">
                  <c:v>7476.5926034392232</c:v>
                </c:pt>
                <c:pt idx="24">
                  <c:v>6887.0723332165917</c:v>
                </c:pt>
                <c:pt idx="25">
                  <c:v>6291.6568602917341</c:v>
                </c:pt>
                <c:pt idx="26">
                  <c:v>5690.2872326376273</c:v>
                </c:pt>
                <c:pt idx="27">
                  <c:v>5082.9039087069796</c:v>
                </c:pt>
                <c:pt idx="28">
                  <c:v>4469.4467515370252</c:v>
                </c:pt>
                <c:pt idx="29">
                  <c:v>3849.8550227953715</c:v>
                </c:pt>
                <c:pt idx="30">
                  <c:v>3224.0673767663011</c:v>
                </c:pt>
                <c:pt idx="31">
                  <c:v>2592.0218542769403</c:v>
                </c:pt>
                <c:pt idx="32">
                  <c:v>1953.6558765626858</c:v>
                </c:pt>
                <c:pt idx="33">
                  <c:v>1308.9062390712888</c:v>
                </c:pt>
                <c:pt idx="34">
                  <c:v>657.70910520497785</c:v>
                </c:pt>
                <c:pt idx="35">
                  <c:v>3.751665644813329E-12</c:v>
                </c:pt>
                <c:pt idx="36">
                  <c:v>0</c:v>
                </c:pt>
              </c:numCache>
            </c:numRef>
          </c:val>
          <c:smooth val="0"/>
          <c:extLst>
            <c:ext xmlns:c16="http://schemas.microsoft.com/office/drawing/2014/chart" uri="{C3380CC4-5D6E-409C-BE32-E72D297353CC}">
              <c16:uniqueId val="{00000002-CA3A-41CD-916E-52F573BAAD1C}"/>
            </c:ext>
          </c:extLst>
        </c:ser>
        <c:dLbls>
          <c:showLegendKey val="0"/>
          <c:showVal val="0"/>
          <c:showCatName val="0"/>
          <c:showSerName val="0"/>
          <c:showPercent val="0"/>
          <c:showBubbleSize val="0"/>
        </c:dLbls>
        <c:marker val="1"/>
        <c:smooth val="0"/>
        <c:axId val="362662015"/>
        <c:axId val="362646175"/>
      </c:lineChart>
      <c:catAx>
        <c:axId val="362662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646175"/>
        <c:crosses val="autoZero"/>
        <c:auto val="1"/>
        <c:lblAlgn val="ctr"/>
        <c:lblOffset val="100"/>
        <c:noMultiLvlLbl val="0"/>
      </c:catAx>
      <c:valAx>
        <c:axId val="3626461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662015"/>
        <c:crosses val="autoZero"/>
        <c:crossBetween val="between"/>
      </c:valAx>
      <c:spPr>
        <a:noFill/>
        <a:ln>
          <a:noFill/>
        </a:ln>
        <a:effectLst/>
      </c:spPr>
    </c:plotArea>
    <c:legend>
      <c:legendPos val="r"/>
      <c:layout>
        <c:manualLayout>
          <c:xMode val="edge"/>
          <c:yMode val="edge"/>
          <c:x val="0.78124133710814236"/>
          <c:y val="0.34917833187518227"/>
          <c:w val="0.20783481769834952"/>
          <c:h val="0.301642971711869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[Refinance Calculator.xlsm]Full_Report!PivotTable4</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Full_Report!$P$85</c:f>
              <c:strCache>
                <c:ptCount val="1"/>
                <c:pt idx="0">
                  <c:v>Max of Interest</c:v>
                </c:pt>
              </c:strCache>
            </c:strRef>
          </c:tx>
          <c:spPr>
            <a:solidFill>
              <a:schemeClr val="accent1"/>
            </a:solidFill>
            <a:ln>
              <a:noFill/>
            </a:ln>
            <a:effectLst/>
          </c:spPr>
          <c:invertIfNegative val="0"/>
          <c:cat>
            <c:strRef>
              <c:f>Full_Report!$O$86:$O$123</c:f>
              <c:strCache>
                <c:ptCount val="3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strCache>
            </c:strRef>
          </c:cat>
          <c:val>
            <c:numRef>
              <c:f>Full_Report!$P$86:$P$123</c:f>
              <c:numCache>
                <c:formatCode>General</c:formatCode>
                <c:ptCount val="37"/>
                <c:pt idx="0">
                  <c:v>200.00000000000006</c:v>
                </c:pt>
                <c:pt idx="1">
                  <c:v>195.35713803742988</c:v>
                </c:pt>
                <c:pt idx="2">
                  <c:v>190.66784745523393</c:v>
                </c:pt>
                <c:pt idx="3">
                  <c:v>185.93166396721597</c:v>
                </c:pt>
                <c:pt idx="4">
                  <c:v>181.14811864431795</c:v>
                </c:pt>
                <c:pt idx="5">
                  <c:v>176.3167378681909</c:v>
                </c:pt>
                <c:pt idx="6">
                  <c:v>171.43704328430249</c:v>
                </c:pt>
                <c:pt idx="7">
                  <c:v>166.50855175457531</c:v>
                </c:pt>
                <c:pt idx="8">
                  <c:v>161.53077530955085</c:v>
                </c:pt>
                <c:pt idx="9">
                  <c:v>156.50322110007602</c:v>
                </c:pt>
                <c:pt idx="10">
                  <c:v>151.42539134850665</c:v>
                </c:pt>
                <c:pt idx="11">
                  <c:v>146.29678329942146</c:v>
                </c:pt>
                <c:pt idx="12">
                  <c:v>141.11688916984542</c:v>
                </c:pt>
                <c:pt idx="13">
                  <c:v>135.88519609897367</c:v>
                </c:pt>
                <c:pt idx="14">
                  <c:v>130.60118609739311</c:v>
                </c:pt>
                <c:pt idx="15">
                  <c:v>125.26433599579684</c:v>
                </c:pt>
                <c:pt idx="16">
                  <c:v>119.87411739318452</c:v>
                </c:pt>
                <c:pt idx="17">
                  <c:v>114.4299966045462</c:v>
                </c:pt>
                <c:pt idx="18">
                  <c:v>108.93143460802139</c:v>
                </c:pt>
                <c:pt idx="19">
                  <c:v>103.37788699153134</c:v>
                </c:pt>
                <c:pt idx="20">
                  <c:v>97.768803898876399</c:v>
                </c:pt>
                <c:pt idx="21">
                  <c:v>92.103629975294893</c:v>
                </c:pt>
                <c:pt idx="22">
                  <c:v>86.381804312477698</c:v>
                </c:pt>
                <c:pt idx="23">
                  <c:v>80.602760393032099</c:v>
                </c:pt>
                <c:pt idx="24">
                  <c:v>74.765926034392237</c:v>
                </c:pt>
                <c:pt idx="25">
                  <c:v>68.87072333216588</c:v>
                </c:pt>
                <c:pt idx="26">
                  <c:v>62.916568602917323</c:v>
                </c:pt>
                <c:pt idx="27">
                  <c:v>56.902872326376269</c:v>
                </c:pt>
                <c:pt idx="28">
                  <c:v>50.829039087069873</c:v>
                </c:pt>
                <c:pt idx="29">
                  <c:v>44.69446751537032</c:v>
                </c:pt>
                <c:pt idx="30">
                  <c:v>38.498550227953729</c:v>
                </c:pt>
                <c:pt idx="31">
                  <c:v>32.240673767663111</c:v>
                </c:pt>
                <c:pt idx="32">
                  <c:v>25.920218542769362</c:v>
                </c:pt>
                <c:pt idx="33">
                  <c:v>19.536558765626864</c:v>
                </c:pt>
                <c:pt idx="34">
                  <c:v>13.089062390712911</c:v>
                </c:pt>
                <c:pt idx="35">
                  <c:v>6.5770910520498092</c:v>
                </c:pt>
                <c:pt idx="36">
                  <c:v>0</c:v>
                </c:pt>
              </c:numCache>
            </c:numRef>
          </c:val>
          <c:extLst>
            <c:ext xmlns:c16="http://schemas.microsoft.com/office/drawing/2014/chart" uri="{C3380CC4-5D6E-409C-BE32-E72D297353CC}">
              <c16:uniqueId val="{00000000-F622-4536-818A-519347DAE89F}"/>
            </c:ext>
          </c:extLst>
        </c:ser>
        <c:ser>
          <c:idx val="1"/>
          <c:order val="1"/>
          <c:tx>
            <c:strRef>
              <c:f>Full_Report!$Q$85</c:f>
              <c:strCache>
                <c:ptCount val="1"/>
                <c:pt idx="0">
                  <c:v>Max of Principle</c:v>
                </c:pt>
              </c:strCache>
            </c:strRef>
          </c:tx>
          <c:spPr>
            <a:solidFill>
              <a:schemeClr val="accent2"/>
            </a:solidFill>
            <a:ln>
              <a:noFill/>
            </a:ln>
            <a:effectLst/>
          </c:spPr>
          <c:invertIfNegative val="0"/>
          <c:cat>
            <c:strRef>
              <c:f>Full_Report!$O$86:$O$123</c:f>
              <c:strCache>
                <c:ptCount val="3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strCache>
            </c:strRef>
          </c:cat>
          <c:val>
            <c:numRef>
              <c:f>Full_Report!$Q$86:$Q$123</c:f>
              <c:numCache>
                <c:formatCode>General</c:formatCode>
                <c:ptCount val="37"/>
                <c:pt idx="0">
                  <c:v>464.28619625702385</c:v>
                </c:pt>
                <c:pt idx="1">
                  <c:v>468.92905821959403</c:v>
                </c:pt>
                <c:pt idx="2">
                  <c:v>473.61834880178998</c:v>
                </c:pt>
                <c:pt idx="3">
                  <c:v>478.35453228980793</c:v>
                </c:pt>
                <c:pt idx="4">
                  <c:v>483.13807761270596</c:v>
                </c:pt>
                <c:pt idx="5">
                  <c:v>487.969458388833</c:v>
                </c:pt>
                <c:pt idx="6">
                  <c:v>492.84915297272141</c:v>
                </c:pt>
                <c:pt idx="7">
                  <c:v>497.7776445024486</c:v>
                </c:pt>
                <c:pt idx="8">
                  <c:v>502.75542094747306</c:v>
                </c:pt>
                <c:pt idx="9">
                  <c:v>507.78297515694788</c:v>
                </c:pt>
                <c:pt idx="10">
                  <c:v>512.86080490851725</c:v>
                </c:pt>
                <c:pt idx="11">
                  <c:v>517.98941295760244</c:v>
                </c:pt>
                <c:pt idx="12">
                  <c:v>523.16930708717848</c:v>
                </c:pt>
                <c:pt idx="13">
                  <c:v>528.40100015805024</c:v>
                </c:pt>
                <c:pt idx="14">
                  <c:v>533.68501015963079</c:v>
                </c:pt>
                <c:pt idx="15">
                  <c:v>539.02186026122706</c:v>
                </c:pt>
                <c:pt idx="16">
                  <c:v>544.41207886383938</c:v>
                </c:pt>
                <c:pt idx="17">
                  <c:v>549.8561996524777</c:v>
                </c:pt>
                <c:pt idx="18">
                  <c:v>555.35476164900251</c:v>
                </c:pt>
                <c:pt idx="19">
                  <c:v>560.90830926549256</c:v>
                </c:pt>
                <c:pt idx="20">
                  <c:v>566.5173923581475</c:v>
                </c:pt>
                <c:pt idx="21">
                  <c:v>572.18256628172901</c:v>
                </c:pt>
                <c:pt idx="22">
                  <c:v>577.90439194454621</c:v>
                </c:pt>
                <c:pt idx="23">
                  <c:v>583.6834358639918</c:v>
                </c:pt>
                <c:pt idx="24">
                  <c:v>589.52027022263167</c:v>
                </c:pt>
                <c:pt idx="25">
                  <c:v>595.41547292485802</c:v>
                </c:pt>
                <c:pt idx="26">
                  <c:v>601.36962765410658</c:v>
                </c:pt>
                <c:pt idx="27">
                  <c:v>607.38332393064763</c:v>
                </c:pt>
                <c:pt idx="28">
                  <c:v>613.45715716995403</c:v>
                </c:pt>
                <c:pt idx="29">
                  <c:v>619.59172874165358</c:v>
                </c:pt>
                <c:pt idx="30">
                  <c:v>625.78764602907017</c:v>
                </c:pt>
                <c:pt idx="31">
                  <c:v>632.04552248936079</c:v>
                </c:pt>
                <c:pt idx="32">
                  <c:v>638.36597771425454</c:v>
                </c:pt>
                <c:pt idx="33">
                  <c:v>644.74963749139704</c:v>
                </c:pt>
                <c:pt idx="34">
                  <c:v>651.19713386631099</c:v>
                </c:pt>
                <c:pt idx="35">
                  <c:v>657.70910520497409</c:v>
                </c:pt>
                <c:pt idx="36">
                  <c:v>0</c:v>
                </c:pt>
              </c:numCache>
            </c:numRef>
          </c:val>
          <c:extLst>
            <c:ext xmlns:c16="http://schemas.microsoft.com/office/drawing/2014/chart" uri="{C3380CC4-5D6E-409C-BE32-E72D297353CC}">
              <c16:uniqueId val="{00000001-F622-4536-818A-519347DAE89F}"/>
            </c:ext>
          </c:extLst>
        </c:ser>
        <c:dLbls>
          <c:showLegendKey val="0"/>
          <c:showVal val="0"/>
          <c:showCatName val="0"/>
          <c:showSerName val="0"/>
          <c:showPercent val="0"/>
          <c:showBubbleSize val="0"/>
        </c:dLbls>
        <c:gapWidth val="219"/>
        <c:overlap val="-27"/>
        <c:axId val="362656255"/>
        <c:axId val="362655295"/>
      </c:barChart>
      <c:catAx>
        <c:axId val="362656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655295"/>
        <c:crosses val="autoZero"/>
        <c:auto val="1"/>
        <c:lblAlgn val="ctr"/>
        <c:lblOffset val="100"/>
        <c:noMultiLvlLbl val="0"/>
      </c:catAx>
      <c:valAx>
        <c:axId val="3626552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6562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[Refinance Calculator.xlsm]Internal Working!PivotTable2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'Internal Working'!$O$5</c:f>
              <c:strCache>
                <c:ptCount val="1"/>
                <c:pt idx="0">
                  <c:v>Total</c:v>
                </c:pt>
              </c:strCache>
            </c:strRef>
          </c:tx>
          <c:spPr>
            <a:ln w="28575" cap="rnd">
              <a:solidFill>
                <a:schemeClr val="accent1"/>
              </a:solidFill>
              <a:round/>
            </a:ln>
            <a:effectLst/>
          </c:spPr>
          <c:marker>
            <c:symbol val="none"/>
          </c:marker>
          <c:cat>
            <c:strRef>
              <c:f>'Internal Working'!$N$6:$N$42</c:f>
              <c:strCache>
                <c:ptCount val="3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strCache>
            </c:strRef>
          </c:cat>
          <c:val>
            <c:numRef>
              <c:f>'Internal Working'!$O$6:$O$42</c:f>
              <c:numCache>
                <c:formatCode>General</c:formatCode>
                <c:ptCount val="37"/>
                <c:pt idx="0">
                  <c:v>33.802998325566136</c:v>
                </c:pt>
                <c:pt idx="1">
                  <c:v>67.605996651132273</c:v>
                </c:pt>
                <c:pt idx="2">
                  <c:v>101.40899497669841</c:v>
                </c:pt>
                <c:pt idx="3">
                  <c:v>135.21199330226455</c:v>
                </c:pt>
                <c:pt idx="4">
                  <c:v>169.01499162783068</c:v>
                </c:pt>
                <c:pt idx="5">
                  <c:v>202.81798995339682</c:v>
                </c:pt>
                <c:pt idx="6">
                  <c:v>236.62098827896295</c:v>
                </c:pt>
                <c:pt idx="7">
                  <c:v>270.42398660452909</c:v>
                </c:pt>
                <c:pt idx="8">
                  <c:v>304.22698493009523</c:v>
                </c:pt>
                <c:pt idx="9">
                  <c:v>338.02998325566136</c:v>
                </c:pt>
                <c:pt idx="10">
                  <c:v>371.8329815812275</c:v>
                </c:pt>
                <c:pt idx="11">
                  <c:v>405.63597990679364</c:v>
                </c:pt>
                <c:pt idx="12">
                  <c:v>439.43897823235977</c:v>
                </c:pt>
                <c:pt idx="13">
                  <c:v>473.24197655792591</c:v>
                </c:pt>
                <c:pt idx="14">
                  <c:v>507.04497488349205</c:v>
                </c:pt>
                <c:pt idx="15">
                  <c:v>540.84797320905818</c:v>
                </c:pt>
                <c:pt idx="16">
                  <c:v>574.65097153462432</c:v>
                </c:pt>
                <c:pt idx="17">
                  <c:v>608.45396986019045</c:v>
                </c:pt>
                <c:pt idx="18">
                  <c:v>642.25696818575659</c:v>
                </c:pt>
                <c:pt idx="19">
                  <c:v>676.05996651132273</c:v>
                </c:pt>
                <c:pt idx="20">
                  <c:v>-564.05457830575529</c:v>
                </c:pt>
                <c:pt idx="21">
                  <c:v>-1128.1091566115106</c:v>
                </c:pt>
                <c:pt idx="22">
                  <c:v>-1692.1637349172659</c:v>
                </c:pt>
                <c:pt idx="23">
                  <c:v>-2256.2183132230211</c:v>
                </c:pt>
                <c:pt idx="24">
                  <c:v>-2820.2728915287762</c:v>
                </c:pt>
                <c:pt idx="25">
                  <c:v>-3384.3274698345313</c:v>
                </c:pt>
                <c:pt idx="26">
                  <c:v>-3948.3820481402863</c:v>
                </c:pt>
                <c:pt idx="27">
                  <c:v>-4512.4366264460414</c:v>
                </c:pt>
                <c:pt idx="28">
                  <c:v>-5076.4912047517964</c:v>
                </c:pt>
                <c:pt idx="29">
                  <c:v>-5640.5457830575515</c:v>
                </c:pt>
                <c:pt idx="30">
                  <c:v>-6204.6003613633065</c:v>
                </c:pt>
                <c:pt idx="31">
                  <c:v>-6768.6549396690616</c:v>
                </c:pt>
                <c:pt idx="32">
                  <c:v>-7332.7095179748167</c:v>
                </c:pt>
                <c:pt idx="33">
                  <c:v>-7896.7640962805717</c:v>
                </c:pt>
                <c:pt idx="34">
                  <c:v>-8460.8186745863277</c:v>
                </c:pt>
                <c:pt idx="35">
                  <c:v>-9024.8732528920827</c:v>
                </c:pt>
                <c:pt idx="36">
                  <c:v>0</c:v>
                </c:pt>
              </c:numCache>
            </c:numRef>
          </c:val>
          <c:smooth val="0"/>
          <c:extLst>
            <c:ext xmlns:c16="http://schemas.microsoft.com/office/drawing/2014/chart" uri="{C3380CC4-5D6E-409C-BE32-E72D297353CC}">
              <c16:uniqueId val="{00000000-CB8C-4954-A510-E156C6741DFC}"/>
            </c:ext>
          </c:extLst>
        </c:ser>
        <c:dLbls>
          <c:showLegendKey val="0"/>
          <c:showVal val="0"/>
          <c:showCatName val="0"/>
          <c:showSerName val="0"/>
          <c:showPercent val="0"/>
          <c:showBubbleSize val="0"/>
        </c:dLbls>
        <c:smooth val="0"/>
        <c:axId val="1729056127"/>
        <c:axId val="1729056607"/>
      </c:lineChart>
      <c:catAx>
        <c:axId val="1729056127"/>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9056607"/>
        <c:crosses val="max"/>
        <c:auto val="1"/>
        <c:lblAlgn val="ctr"/>
        <c:lblOffset val="100"/>
        <c:noMultiLvlLbl val="0"/>
      </c:catAx>
      <c:valAx>
        <c:axId val="1729056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9056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8964</xdr:colOff>
      <xdr:row>19</xdr:row>
      <xdr:rowOff>8964</xdr:rowOff>
    </xdr:from>
    <xdr:to>
      <xdr:col>13</xdr:col>
      <xdr:colOff>8965</xdr:colOff>
      <xdr:row>36</xdr:row>
      <xdr:rowOff>8965</xdr:rowOff>
    </xdr:to>
    <xdr:graphicFrame macro="">
      <xdr:nvGraphicFramePr>
        <xdr:cNvPr id="3" name="Chart 2">
          <a:extLst>
            <a:ext uri="{FF2B5EF4-FFF2-40B4-BE49-F238E27FC236}">
              <a16:creationId xmlns:a16="http://schemas.microsoft.com/office/drawing/2014/main" id="{0184DD73-5E01-4D66-97E9-847213F685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30480</xdr:colOff>
          <xdr:row>14</xdr:row>
          <xdr:rowOff>30480</xdr:rowOff>
        </xdr:from>
        <xdr:to>
          <xdr:col>12</xdr:col>
          <xdr:colOff>784860</xdr:colOff>
          <xdr:row>16</xdr:row>
          <xdr:rowOff>152400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2200" b="1" i="0" u="none" strike="noStrike" baseline="0">
                  <a:solidFill>
                    <a:srgbClr val="339966"/>
                  </a:solidFill>
                  <a:latin typeface="Calibri"/>
                  <a:ea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30480</xdr:colOff>
      <xdr:row>45</xdr:row>
      <xdr:rowOff>24384</xdr:rowOff>
    </xdr:from>
    <xdr:to>
      <xdr:col>7</xdr:col>
      <xdr:colOff>713232</xdr:colOff>
      <xdr:row>60</xdr:row>
      <xdr:rowOff>115824</xdr:rowOff>
    </xdr:to>
    <xdr:graphicFrame macro="">
      <xdr:nvGraphicFramePr>
        <xdr:cNvPr id="6" name="Chart 5">
          <a:extLst>
            <a:ext uri="{FF2B5EF4-FFF2-40B4-BE49-F238E27FC236}">
              <a16:creationId xmlns:a16="http://schemas.microsoft.com/office/drawing/2014/main" id="{0F72BDBC-8771-4AEA-A34D-98F6011D01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65</xdr:row>
      <xdr:rowOff>0</xdr:rowOff>
    </xdr:from>
    <xdr:to>
      <xdr:col>7</xdr:col>
      <xdr:colOff>743712</xdr:colOff>
      <xdr:row>80</xdr:row>
      <xdr:rowOff>91440</xdr:rowOff>
    </xdr:to>
    <xdr:graphicFrame macro="">
      <xdr:nvGraphicFramePr>
        <xdr:cNvPr id="8" name="Chart 7">
          <a:extLst>
            <a:ext uri="{FF2B5EF4-FFF2-40B4-BE49-F238E27FC236}">
              <a16:creationId xmlns:a16="http://schemas.microsoft.com/office/drawing/2014/main" id="{FE8B116F-ED92-4C4C-9058-C03D5F57A8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26</xdr:row>
      <xdr:rowOff>179293</xdr:rowOff>
    </xdr:from>
    <xdr:to>
      <xdr:col>7</xdr:col>
      <xdr:colOff>699247</xdr:colOff>
      <xdr:row>41</xdr:row>
      <xdr:rowOff>170329</xdr:rowOff>
    </xdr:to>
    <xdr:graphicFrame macro="">
      <xdr:nvGraphicFramePr>
        <xdr:cNvPr id="2" name="Chart 1">
          <a:extLst>
            <a:ext uri="{FF2B5EF4-FFF2-40B4-BE49-F238E27FC236}">
              <a16:creationId xmlns:a16="http://schemas.microsoft.com/office/drawing/2014/main" id="{7657E543-EA5F-4C0A-8981-3DFD2FA4EE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jay" refreshedDate="45599.662587152779" createdVersion="8" refreshedVersion="8" minRefreshableVersion="3" recordCount="631" xr:uid="{28F6AD65-BBB8-4A5F-9BEC-9FAC59D8698E}">
  <cacheSource type="worksheet">
    <worksheetSource ref="A85:H716" sheet="Full_Report"/>
  </cacheSource>
  <cacheFields count="8">
    <cacheField name="Month" numFmtId="0">
      <sharedItems containsMixedTypes="1" containsNumber="1" containsInteger="1" minValue="1" maxValue="360" count="361">
        <n v="1"/>
        <n v="2"/>
        <n v="3"/>
        <n v="4"/>
        <n v="5"/>
        <n v="6"/>
        <n v="7"/>
        <n v="8"/>
        <n v="9"/>
        <n v="10"/>
        <n v="11"/>
        <n v="12"/>
        <n v="13"/>
        <n v="14"/>
        <n v="15"/>
        <n v="16"/>
        <n v="17"/>
        <n v="18"/>
        <n v="19"/>
        <n v="20"/>
        <n v="21"/>
        <n v="22"/>
        <n v="23"/>
        <n v="24"/>
        <n v="25"/>
        <n v="26"/>
        <n v="27"/>
        <n v="28"/>
        <n v="29"/>
        <n v="30"/>
        <n v="31"/>
        <n v="32"/>
        <n v="33"/>
        <n v="34"/>
        <n v="35"/>
        <n v="36"/>
        <s v=""/>
        <n v="37" u="1"/>
        <n v="38" u="1"/>
        <n v="39" u="1"/>
        <n v="40" u="1"/>
        <n v="41" u="1"/>
        <n v="42" u="1"/>
        <n v="43" u="1"/>
        <n v="44" u="1"/>
        <n v="45" u="1"/>
        <n v="46" u="1"/>
        <n v="47" u="1"/>
        <n v="48" u="1"/>
        <n v="49" u="1"/>
        <n v="50" u="1"/>
        <n v="51" u="1"/>
        <n v="52" u="1"/>
        <n v="53" u="1"/>
        <n v="54" u="1"/>
        <n v="55" u="1"/>
        <n v="56" u="1"/>
        <n v="57" u="1"/>
        <n v="58" u="1"/>
        <n v="59" u="1"/>
        <n v="60" u="1"/>
        <n v="61" u="1"/>
        <n v="62" u="1"/>
        <n v="63" u="1"/>
        <n v="64" u="1"/>
        <n v="65" u="1"/>
        <n v="66" u="1"/>
        <n v="67" u="1"/>
        <n v="68" u="1"/>
        <n v="69" u="1"/>
        <n v="70" u="1"/>
        <n v="71" u="1"/>
        <n v="72" u="1"/>
        <n v="73" u="1"/>
        <n v="74" u="1"/>
        <n v="75" u="1"/>
        <n v="76" u="1"/>
        <n v="77" u="1"/>
        <n v="78" u="1"/>
        <n v="79" u="1"/>
        <n v="80" u="1"/>
        <n v="81" u="1"/>
        <n v="82" u="1"/>
        <n v="83" u="1"/>
        <n v="84" u="1"/>
        <n v="85" u="1"/>
        <n v="86" u="1"/>
        <n v="87" u="1"/>
        <n v="88" u="1"/>
        <n v="89" u="1"/>
        <n v="90" u="1"/>
        <n v="91" u="1"/>
        <n v="92" u="1"/>
        <n v="93" u="1"/>
        <n v="94" u="1"/>
        <n v="95" u="1"/>
        <n v="96" u="1"/>
        <n v="97" u="1"/>
        <n v="98" u="1"/>
        <n v="99" u="1"/>
        <n v="100" u="1"/>
        <n v="101" u="1"/>
        <n v="102" u="1"/>
        <n v="103" u="1"/>
        <n v="104" u="1"/>
        <n v="105" u="1"/>
        <n v="106" u="1"/>
        <n v="107" u="1"/>
        <n v="108" u="1"/>
        <n v="109" u="1"/>
        <n v="110" u="1"/>
        <n v="111" u="1"/>
        <n v="112" u="1"/>
        <n v="113" u="1"/>
        <n v="114" u="1"/>
        <n v="115" u="1"/>
        <n v="116" u="1"/>
        <n v="117" u="1"/>
        <n v="118" u="1"/>
        <n v="119" u="1"/>
        <n v="120" u="1"/>
        <n v="121" u="1"/>
        <n v="122" u="1"/>
        <n v="123" u="1"/>
        <n v="124" u="1"/>
        <n v="125" u="1"/>
        <n v="126" u="1"/>
        <n v="127" u="1"/>
        <n v="128" u="1"/>
        <n v="129" u="1"/>
        <n v="130" u="1"/>
        <n v="131" u="1"/>
        <n v="132" u="1"/>
        <n v="133" u="1"/>
        <n v="134" u="1"/>
        <n v="135" u="1"/>
        <n v="136" u="1"/>
        <n v="137" u="1"/>
        <n v="138" u="1"/>
        <n v="139" u="1"/>
        <n v="140" u="1"/>
        <n v="141" u="1"/>
        <n v="142" u="1"/>
        <n v="143" u="1"/>
        <n v="144" u="1"/>
        <n v="145" u="1"/>
        <n v="146" u="1"/>
        <n v="147" u="1"/>
        <n v="148" u="1"/>
        <n v="149" u="1"/>
        <n v="150" u="1"/>
        <n v="151" u="1"/>
        <n v="152" u="1"/>
        <n v="153" u="1"/>
        <n v="154" u="1"/>
        <n v="155" u="1"/>
        <n v="156" u="1"/>
        <n v="157" u="1"/>
        <n v="158" u="1"/>
        <n v="159" u="1"/>
        <n v="160" u="1"/>
        <n v="161" u="1"/>
        <n v="162" u="1"/>
        <n v="163" u="1"/>
        <n v="164" u="1"/>
        <n v="165" u="1"/>
        <n v="166" u="1"/>
        <n v="167" u="1"/>
        <n v="168" u="1"/>
        <n v="169" u="1"/>
        <n v="170" u="1"/>
        <n v="171" u="1"/>
        <n v="172" u="1"/>
        <n v="173" u="1"/>
        <n v="174" u="1"/>
        <n v="175" u="1"/>
        <n v="176" u="1"/>
        <n v="177" u="1"/>
        <n v="178" u="1"/>
        <n v="179" u="1"/>
        <n v="180" u="1"/>
        <n v="181" u="1"/>
        <n v="182" u="1"/>
        <n v="183" u="1"/>
        <n v="184" u="1"/>
        <n v="185" u="1"/>
        <n v="186" u="1"/>
        <n v="187" u="1"/>
        <n v="188" u="1"/>
        <n v="189" u="1"/>
        <n v="190" u="1"/>
        <n v="191" u="1"/>
        <n v="192" u="1"/>
        <n v="193" u="1"/>
        <n v="194" u="1"/>
        <n v="195" u="1"/>
        <n v="196" u="1"/>
        <n v="197" u="1"/>
        <n v="198" u="1"/>
        <n v="199" u="1"/>
        <n v="200" u="1"/>
        <n v="201" u="1"/>
        <n v="202" u="1"/>
        <n v="203" u="1"/>
        <n v="204" u="1"/>
        <n v="205" u="1"/>
        <n v="206" u="1"/>
        <n v="207" u="1"/>
        <n v="208" u="1"/>
        <n v="209" u="1"/>
        <n v="210" u="1"/>
        <n v="211" u="1"/>
        <n v="212" u="1"/>
        <n v="213" u="1"/>
        <n v="214" u="1"/>
        <n v="215" u="1"/>
        <n v="216" u="1"/>
        <n v="217" u="1"/>
        <n v="218" u="1"/>
        <n v="219" u="1"/>
        <n v="220" u="1"/>
        <n v="221" u="1"/>
        <n v="222" u="1"/>
        <n v="223" u="1"/>
        <n v="224" u="1"/>
        <n v="225" u="1"/>
        <n v="226" u="1"/>
        <n v="227" u="1"/>
        <n v="228" u="1"/>
        <n v="229" u="1"/>
        <n v="230" u="1"/>
        <n v="231" u="1"/>
        <n v="232" u="1"/>
        <n v="233" u="1"/>
        <n v="234" u="1"/>
        <n v="235" u="1"/>
        <n v="236" u="1"/>
        <n v="237" u="1"/>
        <n v="238" u="1"/>
        <n v="239" u="1"/>
        <n v="240" u="1"/>
        <n v="241" u="1"/>
        <n v="242" u="1"/>
        <n v="243" u="1"/>
        <n v="244" u="1"/>
        <n v="245" u="1"/>
        <n v="246" u="1"/>
        <n v="247" u="1"/>
        <n v="248" u="1"/>
        <n v="249" u="1"/>
        <n v="250" u="1"/>
        <n v="251" u="1"/>
        <n v="252" u="1"/>
        <n v="253" u="1"/>
        <n v="254" u="1"/>
        <n v="255" u="1"/>
        <n v="256" u="1"/>
        <n v="257" u="1"/>
        <n v="258" u="1"/>
        <n v="259" u="1"/>
        <n v="260" u="1"/>
        <n v="261" u="1"/>
        <n v="262" u="1"/>
        <n v="263" u="1"/>
        <n v="264" u="1"/>
        <n v="265" u="1"/>
        <n v="266" u="1"/>
        <n v="267" u="1"/>
        <n v="268" u="1"/>
        <n v="269" u="1"/>
        <n v="270" u="1"/>
        <n v="271" u="1"/>
        <n v="272" u="1"/>
        <n v="273" u="1"/>
        <n v="274" u="1"/>
        <n v="275" u="1"/>
        <n v="276" u="1"/>
        <n v="277" u="1"/>
        <n v="278" u="1"/>
        <n v="279" u="1"/>
        <n v="280" u="1"/>
        <n v="281" u="1"/>
        <n v="282" u="1"/>
        <n v="283" u="1"/>
        <n v="284" u="1"/>
        <n v="285" u="1"/>
        <n v="286" u="1"/>
        <n v="287" u="1"/>
        <n v="288" u="1"/>
        <n v="289" u="1"/>
        <n v="290" u="1"/>
        <n v="291" u="1"/>
        <n v="292" u="1"/>
        <n v="293" u="1"/>
        <n v="294" u="1"/>
        <n v="295" u="1"/>
        <n v="296" u="1"/>
        <n v="297" u="1"/>
        <n v="298" u="1"/>
        <n v="299" u="1"/>
        <n v="300" u="1"/>
        <n v="301" u="1"/>
        <n v="302" u="1"/>
        <n v="303" u="1"/>
        <n v="304" u="1"/>
        <n v="305" u="1"/>
        <n v="306" u="1"/>
        <n v="307" u="1"/>
        <n v="308" u="1"/>
        <n v="309" u="1"/>
        <n v="310" u="1"/>
        <n v="311" u="1"/>
        <n v="312" u="1"/>
        <n v="313" u="1"/>
        <n v="314" u="1"/>
        <n v="315" u="1"/>
        <n v="316" u="1"/>
        <n v="317" u="1"/>
        <n v="318" u="1"/>
        <n v="319" u="1"/>
        <n v="320" u="1"/>
        <n v="321" u="1"/>
        <n v="322" u="1"/>
        <n v="323" u="1"/>
        <n v="324" u="1"/>
        <n v="325" u="1"/>
        <n v="326" u="1"/>
        <n v="327" u="1"/>
        <n v="328" u="1"/>
        <n v="329" u="1"/>
        <n v="330" u="1"/>
        <n v="331" u="1"/>
        <n v="332" u="1"/>
        <n v="333" u="1"/>
        <n v="334" u="1"/>
        <n v="335" u="1"/>
        <n v="336" u="1"/>
        <n v="337" u="1"/>
        <n v="338" u="1"/>
        <n v="339" u="1"/>
        <n v="340" u="1"/>
        <n v="341" u="1"/>
        <n v="342" u="1"/>
        <n v="343" u="1"/>
        <n v="344" u="1"/>
        <n v="345" u="1"/>
        <n v="346" u="1"/>
        <n v="347" u="1"/>
        <n v="348" u="1"/>
        <n v="349" u="1"/>
        <n v="350" u="1"/>
        <n v="351" u="1"/>
        <n v="352" u="1"/>
        <n v="353" u="1"/>
        <n v="354" u="1"/>
        <n v="355" u="1"/>
        <n v="356" u="1"/>
        <n v="357" u="1"/>
        <n v="358" u="1"/>
        <n v="359" u="1"/>
        <n v="360" u="1"/>
      </sharedItems>
    </cacheField>
    <cacheField name="Opening Balance" numFmtId="165">
      <sharedItems containsMixedTypes="1" containsNumber="1" minValue="657.70910520497785" maxValue="20000"/>
    </cacheField>
    <cacheField name="Payment" numFmtId="165">
      <sharedItems containsMixedTypes="1" containsNumber="1" minValue="664.2861962570239" maxValue="664.2861962570239"/>
    </cacheField>
    <cacheField name="Interest" numFmtId="165">
      <sharedItems containsMixedTypes="1" containsNumber="1" minValue="6.5770910520498092" maxValue="200.00000000000006"/>
    </cacheField>
    <cacheField name="Principle" numFmtId="165">
      <sharedItems containsMixedTypes="1" containsNumber="1" minValue="464.28619625702385" maxValue="657.70910520497409"/>
    </cacheField>
    <cacheField name="Closing Balance" numFmtId="165">
      <sharedItems containsMixedTypes="1" containsNumber="1" minValue="3.751665644813329E-12" maxValue="19535.713803742976"/>
    </cacheField>
    <cacheField name="Cumulative Principle" numFmtId="165">
      <sharedItems containsMixedTypes="1" containsNumber="1" minValue="464.28619625702385" maxValue="19999.999999999996"/>
    </cacheField>
    <cacheField name="Cumulative Interest" numFmtId="165">
      <sharedItems containsMixedTypes="1" containsNumber="1" minValue="200.00000000000006" maxValue="3914.303065252862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jay" refreshedDate="45599.900875347223" createdVersion="8" refreshedVersion="8" minRefreshableVersion="3" recordCount="639" xr:uid="{20F5CE2D-3453-4932-8678-36155CFF10CA}">
  <cacheSource type="worksheet">
    <worksheetSource ref="A5:L644" sheet="Internal Working"/>
  </cacheSource>
  <cacheFields count="12">
    <cacheField name="Month" numFmtId="0">
      <sharedItems containsMixedTypes="1" containsNumber="1" containsInteger="1" minValue="1" maxValue="36" count="37">
        <n v="1"/>
        <n v="2"/>
        <n v="3"/>
        <n v="4"/>
        <n v="5"/>
        <n v="6"/>
        <n v="7"/>
        <n v="8"/>
        <n v="9"/>
        <n v="10"/>
        <n v="11"/>
        <n v="12"/>
        <n v="13"/>
        <n v="14"/>
        <n v="15"/>
        <n v="16"/>
        <n v="17"/>
        <n v="18"/>
        <n v="19"/>
        <n v="20"/>
        <n v="21"/>
        <n v="22"/>
        <n v="23"/>
        <n v="24"/>
        <n v="25"/>
        <n v="26"/>
        <n v="27"/>
        <n v="28"/>
        <n v="29"/>
        <n v="30"/>
        <n v="31"/>
        <n v="32"/>
        <n v="33"/>
        <n v="34"/>
        <n v="35"/>
        <n v="36"/>
        <s v=""/>
      </sharedItems>
    </cacheField>
    <cacheField name="Opening Balance" numFmtId="165">
      <sharedItems containsMixedTypes="1" containsNumber="1" minValue="560.31911752227018" maxValue="18000"/>
    </cacheField>
    <cacheField name="Payment" numFmtId="165">
      <sharedItems containsMixedTypes="1" containsNumber="1" minValue="564.05457830575529" maxValue="564.05457830575529"/>
    </cacheField>
    <cacheField name="Interest" numFmtId="165">
      <sharedItems containsMixedTypes="1" containsNumber="1" minValue="3.7354607834818125" maxValue="120"/>
    </cacheField>
    <cacheField name="Principle" numFmtId="165">
      <sharedItems containsMixedTypes="1" containsNumber="1" minValue="444.05457830575529" maxValue="560.31911752227347"/>
    </cacheField>
    <cacheField name="Closing Balance" numFmtId="165">
      <sharedItems containsMixedTypes="1" containsNumber="1" minValue="-3.2969182939268649E-12" maxValue="17555.945421694243"/>
    </cacheField>
    <cacheField name="Cumulative Principle" numFmtId="165">
      <sharedItems containsMixedTypes="1" containsNumber="1" minValue="444.05457830575529" maxValue="560.31911752227347"/>
    </cacheField>
    <cacheField name="Cumulative Interest" numFmtId="165">
      <sharedItems containsMixedTypes="1" containsNumber="1" minValue="3.7354607834818125" maxValue="120"/>
    </cacheField>
    <cacheField name="Monthly Savings" numFmtId="43">
      <sharedItems containsMixedTypes="1" containsNumber="1" minValue="33.802998325566136" maxValue="33.802998325566136"/>
    </cacheField>
    <cacheField name="Cumulative Savings" numFmtId="43">
      <sharedItems containsMixedTypes="1" containsNumber="1" minValue="33.802998325566136" maxValue="676.05996651132273"/>
    </cacheField>
    <cacheField name="Net" numFmtId="43">
      <sharedItems containsMixedTypes="1" containsNumber="1" minValue="-9024.8732528920827" maxValue="-564.05457830575529"/>
    </cacheField>
    <cacheField name="Total Savings / Break Even" numFmtId="43">
      <sharedItems containsMixedTypes="1" containsNumber="1" minValue="-9024.8732528920827" maxValue="676.0599665113227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1">
  <r>
    <x v="0"/>
    <n v="20000"/>
    <n v="664.2861962570239"/>
    <n v="200.00000000000006"/>
    <n v="464.28619625702385"/>
    <n v="19535.713803742976"/>
    <n v="464.28619625702385"/>
    <n v="200.00000000000006"/>
  </r>
  <r>
    <x v="1"/>
    <n v="19535.713803742976"/>
    <n v="664.2861962570239"/>
    <n v="195.35713803742988"/>
    <n v="468.92905821959403"/>
    <n v="19066.784745523382"/>
    <n v="933.21525447661793"/>
    <n v="395.35713803742993"/>
  </r>
  <r>
    <x v="2"/>
    <n v="19066.784745523382"/>
    <n v="664.2861962570239"/>
    <n v="190.66784745523393"/>
    <n v="473.61834880178998"/>
    <n v="18593.166396721594"/>
    <n v="1406.833603278408"/>
    <n v="586.02498549266386"/>
  </r>
  <r>
    <x v="3"/>
    <n v="18593.166396721594"/>
    <n v="664.2861962570239"/>
    <n v="185.93166396721597"/>
    <n v="478.35453228980793"/>
    <n v="18114.811864431787"/>
    <n v="1885.1881355682158"/>
    <n v="771.95664945987983"/>
  </r>
  <r>
    <x v="4"/>
    <n v="18114.811864431787"/>
    <n v="664.2861962570239"/>
    <n v="181.14811864431795"/>
    <n v="483.13807761270596"/>
    <n v="17631.673786819083"/>
    <n v="2368.3262131809215"/>
    <n v="953.10476810419777"/>
  </r>
  <r>
    <x v="5"/>
    <n v="17631.673786819083"/>
    <n v="664.2861962570239"/>
    <n v="176.3167378681909"/>
    <n v="487.969458388833"/>
    <n v="17143.704328430249"/>
    <n v="2856.2956715697546"/>
    <n v="1129.4215059723888"/>
  </r>
  <r>
    <x v="6"/>
    <n v="17143.704328430249"/>
    <n v="664.2861962570239"/>
    <n v="171.43704328430249"/>
    <n v="492.84915297272141"/>
    <n v="16650.855175457527"/>
    <n v="3349.1448245424763"/>
    <n v="1300.8585492566913"/>
  </r>
  <r>
    <x v="7"/>
    <n v="16650.855175457527"/>
    <n v="664.2861962570239"/>
    <n v="166.50855175457531"/>
    <n v="497.7776445024486"/>
    <n v="16153.077530955079"/>
    <n v="3846.922469044925"/>
    <n v="1467.3671010112666"/>
  </r>
  <r>
    <x v="8"/>
    <n v="16153.077530955079"/>
    <n v="664.2861962570239"/>
    <n v="161.53077530955085"/>
    <n v="502.75542094747306"/>
    <n v="15650.322110007606"/>
    <n v="4349.6778899923984"/>
    <n v="1628.8978763208174"/>
  </r>
  <r>
    <x v="9"/>
    <n v="15650.322110007606"/>
    <n v="664.2861962570239"/>
    <n v="156.50322110007602"/>
    <n v="507.78297515694788"/>
    <n v="15142.539134850658"/>
    <n v="4857.4608651493463"/>
    <n v="1785.4010974208934"/>
  </r>
  <r>
    <x v="10"/>
    <n v="15142.539134850658"/>
    <n v="664.2861962570239"/>
    <n v="151.42539134850665"/>
    <n v="512.86080490851725"/>
    <n v="14629.67832994214"/>
    <n v="5370.3216700578632"/>
    <n v="1936.8264887693999"/>
  </r>
  <r>
    <x v="11"/>
    <n v="14629.67832994214"/>
    <n v="664.2861962570239"/>
    <n v="146.29678329942146"/>
    <n v="517.98941295760244"/>
    <n v="14111.688916984538"/>
    <n v="5888.3110830154656"/>
    <n v="2083.1232720688213"/>
  </r>
  <r>
    <x v="12"/>
    <n v="14111.688916984538"/>
    <n v="664.2861962570239"/>
    <n v="141.11688916984542"/>
    <n v="523.16930708717848"/>
    <n v="13588.519609897359"/>
    <n v="6411.4803901026444"/>
    <n v="2224.2401612386666"/>
  </r>
  <r>
    <x v="13"/>
    <n v="13588.519609897359"/>
    <n v="664.2861962570239"/>
    <n v="135.88519609897367"/>
    <n v="528.40100015805024"/>
    <n v="13060.118609739309"/>
    <n v="6939.8813902606944"/>
    <n v="2360.1253573376403"/>
  </r>
  <r>
    <x v="14"/>
    <n v="13060.118609739309"/>
    <n v="664.2861962570239"/>
    <n v="130.60118609739311"/>
    <n v="533.68501015963079"/>
    <n v="12526.433599579679"/>
    <n v="7473.5664004203254"/>
    <n v="2490.7265434350334"/>
  </r>
  <r>
    <x v="15"/>
    <n v="12526.433599579679"/>
    <n v="664.2861962570239"/>
    <n v="125.26433599579684"/>
    <n v="539.02186026122706"/>
    <n v="11987.411739318452"/>
    <n v="8012.5882606815521"/>
    <n v="2615.9908794308303"/>
  </r>
  <r>
    <x v="16"/>
    <n v="11987.411739318452"/>
    <n v="664.2861962570239"/>
    <n v="119.87411739318452"/>
    <n v="544.41207886383938"/>
    <n v="11442.999660454612"/>
    <n v="8557.0003395453914"/>
    <n v="2735.8649968240147"/>
  </r>
  <r>
    <x v="17"/>
    <n v="11442.999660454612"/>
    <n v="664.2861962570239"/>
    <n v="114.4299966045462"/>
    <n v="549.8561996524777"/>
    <n v="10893.143460802134"/>
    <n v="9106.85653919787"/>
    <n v="2850.2949934285607"/>
  </r>
  <r>
    <x v="18"/>
    <n v="10893.143460802134"/>
    <n v="664.2861962570239"/>
    <n v="108.93143460802139"/>
    <n v="555.35476164900251"/>
    <n v="10337.78869915313"/>
    <n v="9662.2113008468732"/>
    <n v="2959.2264280365821"/>
  </r>
  <r>
    <x v="19"/>
    <n v="10337.78869915313"/>
    <n v="664.2861962570239"/>
    <n v="103.37788699153134"/>
    <n v="560.90830926549256"/>
    <n v="9776.8803898876376"/>
    <n v="10223.119610112366"/>
    <n v="3062.6043150281134"/>
  </r>
  <r>
    <x v="20"/>
    <n v="9776.8803898876376"/>
    <n v="664.2861962570239"/>
    <n v="97.768803898876399"/>
    <n v="566.5173923581475"/>
    <n v="9210.3629975294898"/>
    <n v="10789.637002470514"/>
    <n v="3160.3731189269897"/>
  </r>
  <r>
    <x v="21"/>
    <n v="9210.3629975294898"/>
    <n v="664.2861962570239"/>
    <n v="92.103629975294893"/>
    <n v="572.18256628172901"/>
    <n v="8638.1804312477616"/>
    <n v="11361.819568752242"/>
    <n v="3252.4767489022847"/>
  </r>
  <r>
    <x v="22"/>
    <n v="8638.1804312477616"/>
    <n v="664.2861962570239"/>
    <n v="86.381804312477698"/>
    <n v="577.90439194454621"/>
    <n v="8060.2760393032149"/>
    <n v="11939.723960696789"/>
    <n v="3338.8585532147627"/>
  </r>
  <r>
    <x v="23"/>
    <n v="8060.2760393032149"/>
    <n v="664.2861962570239"/>
    <n v="80.602760393032099"/>
    <n v="583.6834358639918"/>
    <n v="7476.5926034392232"/>
    <n v="12523.40739656078"/>
    <n v="3419.4613136077946"/>
  </r>
  <r>
    <x v="24"/>
    <n v="7476.5926034392232"/>
    <n v="664.2861962570239"/>
    <n v="74.765926034392237"/>
    <n v="589.52027022263167"/>
    <n v="6887.0723332165917"/>
    <n v="13112.927666783413"/>
    <n v="3494.2272396421868"/>
  </r>
  <r>
    <x v="25"/>
    <n v="6887.0723332165917"/>
    <n v="664.2861962570239"/>
    <n v="68.87072333216588"/>
    <n v="595.41547292485802"/>
    <n v="6291.6568602917341"/>
    <n v="13708.343139708271"/>
    <n v="3563.0979629743524"/>
  </r>
  <r>
    <x v="26"/>
    <n v="6291.6568602917341"/>
    <n v="664.2861962570239"/>
    <n v="62.916568602917323"/>
    <n v="601.36962765410658"/>
    <n v="5690.2872326376273"/>
    <n v="14309.712767362378"/>
    <n v="3626.0145315772697"/>
  </r>
  <r>
    <x v="27"/>
    <n v="5690.2872326376273"/>
    <n v="664.2861962570239"/>
    <n v="56.902872326376269"/>
    <n v="607.38332393064763"/>
    <n v="5082.9039087069796"/>
    <n v="14917.096091293026"/>
    <n v="3682.9174039036461"/>
  </r>
  <r>
    <x v="28"/>
    <n v="5082.9039087069796"/>
    <n v="664.2861962570239"/>
    <n v="50.829039087069873"/>
    <n v="613.45715716995403"/>
    <n v="4469.4467515370252"/>
    <n v="15530.55324846298"/>
    <n v="3733.7464429907159"/>
  </r>
  <r>
    <x v="29"/>
    <n v="4469.4467515370252"/>
    <n v="664.2861962570239"/>
    <n v="44.69446751537032"/>
    <n v="619.59172874165358"/>
    <n v="3849.8550227953715"/>
    <n v="16150.144977204634"/>
    <n v="3778.4409105060863"/>
  </r>
  <r>
    <x v="30"/>
    <n v="3849.8550227953715"/>
    <n v="664.2861962570239"/>
    <n v="38.498550227953729"/>
    <n v="625.78764602907017"/>
    <n v="3224.0673767663011"/>
    <n v="16775.932623233704"/>
    <n v="3816.93946073404"/>
  </r>
  <r>
    <x v="31"/>
    <n v="3224.0673767663011"/>
    <n v="664.2861962570239"/>
    <n v="32.240673767663111"/>
    <n v="632.04552248936079"/>
    <n v="2592.0218542769403"/>
    <n v="17407.978145723064"/>
    <n v="3849.1801345017029"/>
  </r>
  <r>
    <x v="32"/>
    <n v="2592.0218542769403"/>
    <n v="664.2861962570239"/>
    <n v="25.920218542769362"/>
    <n v="638.36597771425454"/>
    <n v="1953.6558765626858"/>
    <n v="18046.344123437317"/>
    <n v="3875.1003530444723"/>
  </r>
  <r>
    <x v="33"/>
    <n v="1953.6558765626858"/>
    <n v="664.2861962570239"/>
    <n v="19.536558765626864"/>
    <n v="644.74963749139704"/>
    <n v="1308.9062390712888"/>
    <n v="18691.093760928714"/>
    <n v="3894.6369118100993"/>
  </r>
  <r>
    <x v="34"/>
    <n v="1308.9062390712888"/>
    <n v="664.2861962570239"/>
    <n v="13.089062390712911"/>
    <n v="651.19713386631099"/>
    <n v="657.70910520497785"/>
    <n v="19342.290894795024"/>
    <n v="3907.7259742008123"/>
  </r>
  <r>
    <x v="35"/>
    <n v="657.70910520497785"/>
    <n v="664.2861962570239"/>
    <n v="6.5770910520498092"/>
    <n v="657.70910520497409"/>
    <n v="3.751665644813329E-12"/>
    <n v="19999.999999999996"/>
    <n v="3914.3030652528623"/>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r>
    <x v="36"/>
    <s v=""/>
    <s v=""/>
    <s v=""/>
    <s v=""/>
    <s v=""/>
    <s v=""/>
    <s v=""/>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9">
  <r>
    <x v="0"/>
    <n v="18000"/>
    <n v="564.05457830575529"/>
    <n v="120"/>
    <n v="444.05457830575529"/>
    <n v="17555.945421694243"/>
    <n v="444.05457830575529"/>
    <n v="120"/>
    <n v="33.802998325566136"/>
    <n v="33.802998325566136"/>
    <s v="0"/>
    <n v="33.802998325566136"/>
  </r>
  <r>
    <x v="1"/>
    <n v="17555.945421694243"/>
    <n v="564.05457830575529"/>
    <n v="117.03963614462822"/>
    <n v="447.01494216112707"/>
    <n v="17108.930479533115"/>
    <n v="447.01494216112707"/>
    <n v="117.03963614462822"/>
    <n v="33.802998325566136"/>
    <n v="67.605996651132273"/>
    <s v="0"/>
    <n v="67.605996651132273"/>
  </r>
  <r>
    <x v="2"/>
    <n v="17108.930479533115"/>
    <n v="564.05457830575529"/>
    <n v="114.05953653022073"/>
    <n v="449.99504177553456"/>
    <n v="16658.93543775758"/>
    <n v="449.99504177553456"/>
    <n v="114.05953653022073"/>
    <n v="33.802998325566136"/>
    <n v="101.40899497669841"/>
    <s v="0"/>
    <n v="101.40899497669841"/>
  </r>
  <r>
    <x v="3"/>
    <n v="16658.93543775758"/>
    <n v="564.05457830575529"/>
    <n v="111.05956958505061"/>
    <n v="452.99500872070467"/>
    <n v="16205.940429036875"/>
    <n v="452.99500872070467"/>
    <n v="111.05956958505061"/>
    <n v="33.802998325566136"/>
    <n v="135.21199330226455"/>
    <s v="0"/>
    <n v="135.21199330226455"/>
  </r>
  <r>
    <x v="4"/>
    <n v="16205.940429036875"/>
    <n v="564.05457830575529"/>
    <n v="108.03960286024585"/>
    <n v="456.01497544550944"/>
    <n v="15749.925453591366"/>
    <n v="456.01497544550944"/>
    <n v="108.03960286024585"/>
    <n v="33.802998325566136"/>
    <n v="169.01499162783068"/>
    <s v="0"/>
    <n v="169.01499162783068"/>
  </r>
  <r>
    <x v="5"/>
    <n v="15749.925453591366"/>
    <n v="564.05457830575529"/>
    <n v="104.99950302394251"/>
    <n v="459.05507528181278"/>
    <n v="15290.870378309553"/>
    <n v="459.05507528181278"/>
    <n v="104.99950302394251"/>
    <n v="33.802998325566136"/>
    <n v="202.81798995339682"/>
    <s v="0"/>
    <n v="202.81798995339682"/>
  </r>
  <r>
    <x v="6"/>
    <n v="15290.870378309553"/>
    <n v="564.05457830575529"/>
    <n v="101.93913585539701"/>
    <n v="462.11544245035827"/>
    <n v="14828.754935859195"/>
    <n v="462.11544245035827"/>
    <n v="101.93913585539701"/>
    <n v="33.802998325566136"/>
    <n v="236.62098827896295"/>
    <s v="0"/>
    <n v="236.62098827896295"/>
  </r>
  <r>
    <x v="7"/>
    <n v="14828.754935859195"/>
    <n v="564.05457830575529"/>
    <n v="98.85836623906124"/>
    <n v="465.19621206669405"/>
    <n v="14363.558723792501"/>
    <n v="465.19621206669405"/>
    <n v="98.85836623906124"/>
    <n v="33.802998325566136"/>
    <n v="270.42398660452909"/>
    <s v="0"/>
    <n v="270.42398660452909"/>
  </r>
  <r>
    <x v="8"/>
    <n v="14363.558723792501"/>
    <n v="564.05457830575529"/>
    <n v="95.757058158616701"/>
    <n v="468.29752014713858"/>
    <n v="13895.261203645363"/>
    <n v="468.29752014713858"/>
    <n v="95.757058158616701"/>
    <n v="33.802998325566136"/>
    <n v="304.22698493009523"/>
    <s v="0"/>
    <n v="304.22698493009523"/>
  </r>
  <r>
    <x v="9"/>
    <n v="13895.261203645363"/>
    <n v="564.05457830575529"/>
    <n v="92.635074690969077"/>
    <n v="471.41950361478621"/>
    <n v="13423.841700030576"/>
    <n v="471.41950361478621"/>
    <n v="92.635074690969077"/>
    <n v="33.802998325566136"/>
    <n v="338.02998325566136"/>
    <s v="0"/>
    <n v="338.02998325566136"/>
  </r>
  <r>
    <x v="10"/>
    <n v="13423.841700030576"/>
    <n v="564.05457830575529"/>
    <n v="89.492278000203839"/>
    <n v="474.56230030555145"/>
    <n v="12949.279399725025"/>
    <n v="474.56230030555145"/>
    <n v="89.492278000203839"/>
    <n v="33.802998325566136"/>
    <n v="371.8329815812275"/>
    <s v="0"/>
    <n v="371.8329815812275"/>
  </r>
  <r>
    <x v="11"/>
    <n v="12949.279399725025"/>
    <n v="564.05457830575529"/>
    <n v="86.328529331500135"/>
    <n v="477.72604897425515"/>
    <n v="12471.55335075077"/>
    <n v="477.72604897425515"/>
    <n v="86.328529331500135"/>
    <n v="33.802998325566136"/>
    <n v="405.63597990679364"/>
    <s v="0"/>
    <n v="405.63597990679364"/>
  </r>
  <r>
    <x v="12"/>
    <n v="12471.55335075077"/>
    <n v="564.05457830575529"/>
    <n v="83.143689005005058"/>
    <n v="480.91088930075023"/>
    <n v="11990.642461450019"/>
    <n v="480.91088930075023"/>
    <n v="83.143689005005058"/>
    <n v="33.802998325566136"/>
    <n v="439.43897823235977"/>
    <s v="0"/>
    <n v="439.43897823235977"/>
  </r>
  <r>
    <x v="13"/>
    <n v="11990.642461450019"/>
    <n v="564.05457830575529"/>
    <n v="79.937616409666816"/>
    <n v="484.11696189608847"/>
    <n v="11506.525499553931"/>
    <n v="484.11696189608847"/>
    <n v="79.937616409666816"/>
    <n v="33.802998325566136"/>
    <n v="473.24197655792591"/>
    <s v="0"/>
    <n v="473.24197655792591"/>
  </r>
  <r>
    <x v="14"/>
    <n v="11506.525499553931"/>
    <n v="564.05457830575529"/>
    <n v="76.710169997026185"/>
    <n v="487.3444083087291"/>
    <n v="11019.181091245202"/>
    <n v="487.3444083087291"/>
    <n v="76.710169997026185"/>
    <n v="33.802998325566136"/>
    <n v="507.04497488349205"/>
    <s v="0"/>
    <n v="507.04497488349205"/>
  </r>
  <r>
    <x v="15"/>
    <n v="11019.181091245202"/>
    <n v="564.05457830575529"/>
    <n v="73.46120727496799"/>
    <n v="490.5933710307873"/>
    <n v="10528.587720214415"/>
    <n v="490.5933710307873"/>
    <n v="73.46120727496799"/>
    <n v="33.802998325566136"/>
    <n v="540.84797320905818"/>
    <s v="0"/>
    <n v="540.84797320905818"/>
  </r>
  <r>
    <x v="16"/>
    <n v="10528.587720214415"/>
    <n v="564.05457830575529"/>
    <n v="70.190584801429452"/>
    <n v="493.86399350432583"/>
    <n v="10034.723726710088"/>
    <n v="493.86399350432583"/>
    <n v="70.190584801429452"/>
    <n v="33.802998325566136"/>
    <n v="574.65097153462432"/>
    <s v="0"/>
    <n v="574.65097153462432"/>
  </r>
  <r>
    <x v="17"/>
    <n v="10034.723726710088"/>
    <n v="564.05457830575529"/>
    <n v="66.89815817806732"/>
    <n v="497.15642012768797"/>
    <n v="9537.5673065823994"/>
    <n v="497.15642012768797"/>
    <n v="66.89815817806732"/>
    <n v="33.802998325566136"/>
    <n v="608.45396986019045"/>
    <s v="0"/>
    <n v="608.45396986019045"/>
  </r>
  <r>
    <x v="18"/>
    <n v="9537.5673065823994"/>
    <n v="564.05457830575529"/>
    <n v="63.583782043882593"/>
    <n v="500.47079626187269"/>
    <n v="9037.0965103205272"/>
    <n v="500.47079626187269"/>
    <n v="63.583782043882593"/>
    <n v="33.802998325566136"/>
    <n v="642.25696818575659"/>
    <s v="0"/>
    <n v="642.25696818575659"/>
  </r>
  <r>
    <x v="19"/>
    <n v="9037.0965103205272"/>
    <n v="564.05457830575529"/>
    <n v="60.247310068803472"/>
    <n v="503.80726823695181"/>
    <n v="8533.289242083576"/>
    <n v="503.80726823695181"/>
    <n v="60.247310068803472"/>
    <n v="33.802998325566136"/>
    <n v="676.05996651132273"/>
    <s v="0"/>
    <n v="676.05996651132273"/>
  </r>
  <r>
    <x v="20"/>
    <n v="8533.289242083576"/>
    <n v="564.05457830575529"/>
    <n v="56.888594947223851"/>
    <n v="507.16598335853143"/>
    <n v="8026.1232587250443"/>
    <n v="507.16598335853143"/>
    <n v="56.888594947223851"/>
    <s v=""/>
    <s v="0"/>
    <n v="-564.05457830575529"/>
    <n v="-564.05457830575529"/>
  </r>
  <r>
    <x v="21"/>
    <n v="8026.1232587250443"/>
    <n v="564.05457830575529"/>
    <n v="53.507488391500374"/>
    <n v="510.54708991425491"/>
    <n v="7515.5761688107896"/>
    <n v="510.54708991425491"/>
    <n v="53.507488391500374"/>
    <s v=""/>
    <s v="0"/>
    <n v="-1128.1091566115106"/>
    <n v="-1128.1091566115106"/>
  </r>
  <r>
    <x v="22"/>
    <n v="7515.5761688107896"/>
    <n v="564.05457830575529"/>
    <n v="50.103841125405211"/>
    <n v="513.95073718035007"/>
    <n v="7001.6254316304394"/>
    <n v="513.95073718035007"/>
    <n v="50.103841125405211"/>
    <s v=""/>
    <s v="0"/>
    <n v="-1692.1637349172659"/>
    <n v="-1692.1637349172659"/>
  </r>
  <r>
    <x v="23"/>
    <n v="7001.6254316304394"/>
    <n v="564.05457830575529"/>
    <n v="46.677502877536199"/>
    <n v="517.37707542821909"/>
    <n v="6484.2483562022207"/>
    <n v="517.37707542821909"/>
    <n v="46.677502877536199"/>
    <s v=""/>
    <s v="0"/>
    <n v="-2256.2183132230211"/>
    <n v="-2256.2183132230211"/>
  </r>
  <r>
    <x v="24"/>
    <n v="6484.2483562022207"/>
    <n v="564.05457830575529"/>
    <n v="43.228322374681511"/>
    <n v="520.82625593107377"/>
    <n v="5963.4221002711474"/>
    <n v="520.82625593107377"/>
    <n v="43.228322374681511"/>
    <s v=""/>
    <s v="0"/>
    <n v="-2820.2728915287762"/>
    <n v="-2820.2728915287762"/>
  </r>
  <r>
    <x v="25"/>
    <n v="5963.4221002711474"/>
    <n v="564.05457830575529"/>
    <n v="39.756147335141009"/>
    <n v="524.29843097061428"/>
    <n v="5439.123669300533"/>
    <n v="524.29843097061428"/>
    <n v="39.756147335141009"/>
    <s v=""/>
    <s v="0"/>
    <n v="-3384.3274698345313"/>
    <n v="-3384.3274698345313"/>
  </r>
  <r>
    <x v="26"/>
    <n v="5439.123669300533"/>
    <n v="564.05457830575529"/>
    <n v="36.260824462003484"/>
    <n v="527.7937538437518"/>
    <n v="4911.3299154567812"/>
    <n v="527.7937538437518"/>
    <n v="36.260824462003484"/>
    <s v=""/>
    <s v="0"/>
    <n v="-3948.3820481402863"/>
    <n v="-3948.3820481402863"/>
  </r>
  <r>
    <x v="27"/>
    <n v="4911.3299154567812"/>
    <n v="564.05457830575529"/>
    <n v="32.742199436378655"/>
    <n v="531.31237886937663"/>
    <n v="4380.0175365874047"/>
    <n v="531.31237886937663"/>
    <n v="32.742199436378655"/>
    <s v=""/>
    <s v="0"/>
    <n v="-4512.4366264460414"/>
    <n v="-4512.4366264460414"/>
  </r>
  <r>
    <x v="28"/>
    <n v="4380.0175365874047"/>
    <n v="564.05457830575529"/>
    <n v="29.200116910582665"/>
    <n v="534.85446139517262"/>
    <n v="3845.1630751922321"/>
    <n v="534.85446139517262"/>
    <n v="29.200116910582665"/>
    <s v=""/>
    <s v="0"/>
    <n v="-5076.4912047517964"/>
    <n v="-5076.4912047517964"/>
  </r>
  <r>
    <x v="29"/>
    <n v="3845.1630751922321"/>
    <n v="564.05457830575529"/>
    <n v="25.634420501281511"/>
    <n v="538.42015780447377"/>
    <n v="3306.7429173877581"/>
    <n v="538.42015780447377"/>
    <n v="25.634420501281511"/>
    <s v=""/>
    <s v="0"/>
    <n v="-5640.5457830575515"/>
    <n v="-5640.5457830575515"/>
  </r>
  <r>
    <x v="30"/>
    <n v="3306.7429173877581"/>
    <n v="564.05457830575529"/>
    <n v="22.044952782585028"/>
    <n v="542.00962552317026"/>
    <n v="2764.733291864588"/>
    <n v="542.00962552317026"/>
    <n v="22.044952782585028"/>
    <s v=""/>
    <s v="0"/>
    <n v="-6204.6003613633065"/>
    <n v="-6204.6003613633065"/>
  </r>
  <r>
    <x v="31"/>
    <n v="2764.733291864588"/>
    <n v="564.05457830575529"/>
    <n v="18.431555279097211"/>
    <n v="545.62302302665807"/>
    <n v="2219.1102688379297"/>
    <n v="545.62302302665807"/>
    <n v="18.431555279097211"/>
    <s v=""/>
    <s v="0"/>
    <n v="-6768.6549396690616"/>
    <n v="-6768.6549396690616"/>
  </r>
  <r>
    <x v="32"/>
    <n v="2219.1102688379297"/>
    <n v="564.05457830575529"/>
    <n v="14.794068458919469"/>
    <n v="549.26050984683582"/>
    <n v="1669.8497589910939"/>
    <n v="549.26050984683582"/>
    <n v="14.794068458919469"/>
    <s v=""/>
    <s v="0"/>
    <n v="-7332.7095179748167"/>
    <n v="-7332.7095179748167"/>
  </r>
  <r>
    <x v="33"/>
    <n v="1669.8497589910939"/>
    <n v="564.05457830575529"/>
    <n v="11.132331726607276"/>
    <n v="552.92224657914801"/>
    <n v="1116.9275124119458"/>
    <n v="552.92224657914801"/>
    <n v="11.132331726607276"/>
    <s v=""/>
    <s v="0"/>
    <n v="-7896.7640962805717"/>
    <n v="-7896.7640962805717"/>
  </r>
  <r>
    <x v="34"/>
    <n v="1116.9275124119458"/>
    <n v="564.05457830575529"/>
    <n v="7.4461834160796343"/>
    <n v="556.60839488967565"/>
    <n v="560.31911752227018"/>
    <n v="556.60839488967565"/>
    <n v="7.4461834160796343"/>
    <s v=""/>
    <s v="0"/>
    <n v="-8460.8186745863277"/>
    <n v="-8460.8186745863277"/>
  </r>
  <r>
    <x v="35"/>
    <n v="560.31911752227018"/>
    <n v="564.05457830575529"/>
    <n v="3.7354607834818125"/>
    <n v="560.31911752227347"/>
    <n v="-3.2969182939268649E-12"/>
    <n v="560.31911752227347"/>
    <n v="3.7354607834818125"/>
    <s v=""/>
    <s v="0"/>
    <n v="-9024.8732528920827"/>
    <n v="-9024.8732528920827"/>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r>
    <x v="36"/>
    <s v=""/>
    <s v=""/>
    <s v=""/>
    <s v=""/>
    <s v=""/>
    <s v=""/>
    <s v=""/>
    <s v=""/>
    <s v="0"/>
    <s v="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78E9CBC-68DF-454E-B3AD-9A109EA63968}"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N5:O42" firstHeaderRow="1" firstDataRow="1" firstDataCol="1"/>
  <pivotFields count="12">
    <pivotField axis="axisRow" showAll="0" defaultSubtota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s>
  <rowFields count="1">
    <field x="0"/>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rowItems>
  <colItems count="1">
    <i/>
  </colItems>
  <dataFields count="1">
    <dataField name="Max of Total Savings / Break Even" fld="11" subtotal="max" baseField="0" baseItem="0"/>
  </dataFields>
  <chartFormats count="2">
    <chartFormat chart="2"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76E47C-AE4D-4BBC-B5FD-C72C293BBBB7}"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O85:Q123" firstHeaderRow="0" firstDataRow="1" firstDataCol="1"/>
  <pivotFields count="8">
    <pivotField axis="axisRow" showAll="0">
      <items count="3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x="36"/>
        <item t="default"/>
      </items>
    </pivotField>
    <pivotField showAll="0"/>
    <pivotField showAll="0"/>
    <pivotField dataField="1" showAll="0"/>
    <pivotField dataField="1" showAll="0"/>
    <pivotField showAll="0"/>
    <pivotField showAll="0"/>
    <pivotField showAll="0"/>
  </pivotFields>
  <rowFields count="1">
    <field x="0"/>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0"/>
    </i>
    <i t="grand">
      <x/>
    </i>
  </rowItems>
  <colFields count="1">
    <field x="-2"/>
  </colFields>
  <colItems count="2">
    <i>
      <x/>
    </i>
    <i i="1">
      <x v="1"/>
    </i>
  </colItems>
  <dataFields count="2">
    <dataField name="Max of Interest" fld="3" subtotal="max" baseField="0" baseItem="0"/>
    <dataField name="Max of Principle" fld="4" subtotal="max"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8DEC106-A321-4913-81FE-82B02FD8B2F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J86:M124" firstHeaderRow="0" firstDataRow="1" firstDataCol="1"/>
  <pivotFields count="8">
    <pivotField axis="axisRow" showAll="0">
      <items count="3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x="36"/>
        <item t="default"/>
      </items>
    </pivotField>
    <pivotField showAll="0"/>
    <pivotField showAll="0"/>
    <pivotField showAll="0"/>
    <pivotField showAll="0"/>
    <pivotField dataField="1" showAll="0"/>
    <pivotField dataField="1" showAll="0"/>
    <pivotField dataField="1" showAll="0"/>
  </pivotFields>
  <rowFields count="1">
    <field x="0"/>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0"/>
    </i>
    <i t="grand">
      <x/>
    </i>
  </rowItems>
  <colFields count="1">
    <field x="-2"/>
  </colFields>
  <colItems count="3">
    <i>
      <x/>
    </i>
    <i i="1">
      <x v="1"/>
    </i>
    <i i="2">
      <x v="2"/>
    </i>
  </colItems>
  <dataFields count="3">
    <dataField name="Max of Cumulative Principle" fld="6" subtotal="max" baseField="0" baseItem="0"/>
    <dataField name="Max of Cumulative Interest" fld="7" subtotal="max" baseField="0" baseItem="0"/>
    <dataField name="Max of Closing Balance" fld="5" subtotal="max" baseField="0" baseItem="0"/>
  </dataFields>
  <chartFormats count="3">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FAD43-4A43-4AF3-9FEF-9242B0378B78}">
  <sheetPr codeName="Sheet3"/>
  <dimension ref="A1:P644"/>
  <sheetViews>
    <sheetView workbookViewId="0">
      <selection activeCell="M37" sqref="M37"/>
    </sheetView>
  </sheetViews>
  <sheetFormatPr defaultRowHeight="13.8" x14ac:dyDescent="0.25"/>
  <cols>
    <col min="1" max="1" width="9.33203125" style="1" customWidth="1"/>
    <col min="2" max="2" width="15.5546875" style="1" hidden="1" customWidth="1"/>
    <col min="3" max="5" width="9.109375" style="1" hidden="1" customWidth="1"/>
    <col min="6" max="6" width="14.6640625" style="1" hidden="1" customWidth="1"/>
    <col min="7" max="7" width="19.109375" style="1" hidden="1" customWidth="1"/>
    <col min="8" max="8" width="18.21875" style="1" hidden="1" customWidth="1"/>
    <col min="9" max="9" width="15.33203125" style="1" bestFit="1" customWidth="1"/>
    <col min="10" max="10" width="18" style="1" bestFit="1" customWidth="1"/>
    <col min="11" max="11" width="12.44140625" style="1" bestFit="1" customWidth="1"/>
    <col min="12" max="12" width="11.77734375" style="1" bestFit="1" customWidth="1"/>
    <col min="13" max="13" width="11.33203125" style="1" bestFit="1" customWidth="1"/>
    <col min="14" max="14" width="12.5546875" style="1" hidden="1" customWidth="1"/>
    <col min="15" max="15" width="30" style="1" hidden="1" customWidth="1"/>
    <col min="16" max="16384" width="8.88671875" style="1"/>
  </cols>
  <sheetData>
    <row r="1" spans="1:16" x14ac:dyDescent="0.25">
      <c r="K1" s="34" t="s">
        <v>63</v>
      </c>
      <c r="L1" s="1">
        <f ca="1">+Refinance_Calculator!C29-'Internal Working'!L2</f>
        <v>179</v>
      </c>
      <c r="M1" s="1">
        <f ca="1">+L1*Refinance_Calculator!M9</f>
        <v>16634.529320363115</v>
      </c>
    </row>
    <row r="2" spans="1:16" x14ac:dyDescent="0.25">
      <c r="K2" s="34" t="s">
        <v>59</v>
      </c>
      <c r="L2" s="1">
        <f ca="1">+Refinance_Calculator!R26</f>
        <v>181</v>
      </c>
    </row>
    <row r="3" spans="1:16" x14ac:dyDescent="0.25">
      <c r="A3" s="4" t="s">
        <v>46</v>
      </c>
      <c r="K3" s="2"/>
    </row>
    <row r="4" spans="1:16" x14ac:dyDescent="0.25">
      <c r="I4" s="74" t="s">
        <v>49</v>
      </c>
      <c r="J4" s="74"/>
      <c r="N4" s="6"/>
    </row>
    <row r="5" spans="1:16" ht="42" x14ac:dyDescent="0.3">
      <c r="A5" s="1" t="s">
        <v>14</v>
      </c>
      <c r="B5" s="1" t="s">
        <v>18</v>
      </c>
      <c r="C5" s="1" t="s">
        <v>20</v>
      </c>
      <c r="D5" s="1" t="s">
        <v>15</v>
      </c>
      <c r="E5" s="1" t="s">
        <v>16</v>
      </c>
      <c r="F5" s="1" t="s">
        <v>17</v>
      </c>
      <c r="G5" s="1" t="s">
        <v>22</v>
      </c>
      <c r="H5" s="1" t="s">
        <v>21</v>
      </c>
      <c r="I5" s="1" t="s">
        <v>47</v>
      </c>
      <c r="J5" s="1" t="s">
        <v>48</v>
      </c>
      <c r="K5" s="1" t="s">
        <v>61</v>
      </c>
      <c r="L5" s="38" t="s">
        <v>60</v>
      </c>
      <c r="N5" s="12" t="s">
        <v>36</v>
      </c>
      <c r="O5" t="s">
        <v>62</v>
      </c>
      <c r="P5"/>
    </row>
    <row r="6" spans="1:16" ht="14.4" x14ac:dyDescent="0.3">
      <c r="A6" s="1">
        <v>1</v>
      </c>
      <c r="B6" s="3">
        <f>+Refinance_Calculator!$C$23</f>
        <v>15000</v>
      </c>
      <c r="C6" s="3">
        <f>IF(A6="","",(-PMT(Refinance_Calculator!$C$26/12,Refinance_Calculator!$C$29,Refinance_Calculator!$C$23,0,0)))</f>
        <v>89.932578772912834</v>
      </c>
      <c r="D6" s="3">
        <f>+IF(A6="","",(C6-E6))</f>
        <v>74.999999999999986</v>
      </c>
      <c r="E6" s="3">
        <f>IF(A6="","",(-PPMT(Refinance_Calculator!$C$26/12,'Internal Working'!A6,Refinance_Calculator!$C$29,Refinance_Calculator!$C$23,0,0)))</f>
        <v>14.93257877291285</v>
      </c>
      <c r="F6" s="3">
        <f>+B6-E6</f>
        <v>14985.067421227088</v>
      </c>
      <c r="G6" s="5">
        <f>+E6</f>
        <v>14.93257877291285</v>
      </c>
      <c r="H6" s="36">
        <f>+D6</f>
        <v>74.999999999999986</v>
      </c>
      <c r="I6" s="37">
        <f ca="1">+IF(A6 &lt;= $L$2, (Full_Report!C86-'Internal Working'!C6),"")</f>
        <v>35.533431576106594</v>
      </c>
      <c r="J6" s="37">
        <f ca="1">+I6</f>
        <v>35.533431576106594</v>
      </c>
      <c r="K6" s="35" t="str">
        <f ca="1">+IF(A6="","0",IF(A6&gt;$L$2,(J6-C6),"0"))</f>
        <v>0</v>
      </c>
      <c r="L6" s="35">
        <f ca="1">+IF(A6 = "","",(J6+K6))</f>
        <v>35.533431576106594</v>
      </c>
      <c r="M6" s="35"/>
      <c r="N6" s="13">
        <v>1</v>
      </c>
      <c r="O6">
        <v>33.802998325566136</v>
      </c>
      <c r="P6"/>
    </row>
    <row r="7" spans="1:16" ht="14.4" x14ac:dyDescent="0.3">
      <c r="A7" s="1">
        <f>IF(OR(A6="",F6=0,A6=Refinance_Calculator!$C$29),"",A6+1)</f>
        <v>2</v>
      </c>
      <c r="B7" s="3">
        <f>IF(A7="","",(F6))</f>
        <v>14985.067421227088</v>
      </c>
      <c r="C7" s="3">
        <f>IF(A7="","",(-PMT(Refinance_Calculator!$C$26/12,Refinance_Calculator!$C$29,Refinance_Calculator!$C$23,0,0)))</f>
        <v>89.932578772912834</v>
      </c>
      <c r="D7" s="3">
        <f>+IF(A7="","",(C7-E7))</f>
        <v>74.925337106135416</v>
      </c>
      <c r="E7" s="3">
        <f>IF(A7="","",(-PPMT(Refinance_Calculator!$C$26/12,'Internal Working'!A7,Refinance_Calculator!$C$29,Refinance_Calculator!$C$23,0,0)))</f>
        <v>15.007241666777414</v>
      </c>
      <c r="F7" s="3">
        <f>+IF(A7="","",(B7-E7))</f>
        <v>14970.060179560311</v>
      </c>
      <c r="G7" s="5">
        <f>+E7</f>
        <v>15.007241666777414</v>
      </c>
      <c r="H7" s="36">
        <f>+D7</f>
        <v>74.925337106135416</v>
      </c>
      <c r="I7" s="37">
        <f ca="1">+IF(A7 &lt;= $L$2, (Full_Report!C87-'Internal Working'!C7),"")</f>
        <v>35.533431576106594</v>
      </c>
      <c r="J7" s="37">
        <f ca="1">IF(I7="","0",(I7+J6))</f>
        <v>71.066863152213188</v>
      </c>
      <c r="K7" s="35" t="str">
        <f ca="1">+IF(A7="","0",IF(A7&gt;$L$2,(K6-C7),"0"))</f>
        <v>0</v>
      </c>
      <c r="L7" s="35">
        <f t="shared" ref="L7:L70" ca="1" si="0">+IF(A7 = "","",(J7+K7))</f>
        <v>71.066863152213188</v>
      </c>
      <c r="M7" s="35"/>
      <c r="N7" s="13">
        <v>2</v>
      </c>
      <c r="O7">
        <v>67.605996651132273</v>
      </c>
      <c r="P7"/>
    </row>
    <row r="8" spans="1:16" ht="14.4" x14ac:dyDescent="0.3">
      <c r="A8" s="1">
        <f>IF(OR(A7="",F7=0,A7=Refinance_Calculator!$C$29),"",A7+1)</f>
        <v>3</v>
      </c>
      <c r="B8" s="3">
        <f t="shared" ref="B8:B17" si="1">IF(A8="","",(F7))</f>
        <v>14970.060179560311</v>
      </c>
      <c r="C8" s="3">
        <f>IF(A8="","",(-PMT(Refinance_Calculator!$C$26/12,Refinance_Calculator!$C$29,Refinance_Calculator!$C$23,0,0)))</f>
        <v>89.932578772912834</v>
      </c>
      <c r="D8" s="3">
        <f t="shared" ref="D8:D17" si="2">+IF(A8="","",(C8-E8))</f>
        <v>74.850300897801532</v>
      </c>
      <c r="E8" s="3">
        <f>IF(A8="","",(-PPMT(Refinance_Calculator!$C$26/12,'Internal Working'!A8,Refinance_Calculator!$C$29,Refinance_Calculator!$C$23,0,0)))</f>
        <v>15.082277875111302</v>
      </c>
      <c r="F8" s="3">
        <f t="shared" ref="F8:F17" si="3">+IF(A8="","",(B8-E8))</f>
        <v>14954.977901685199</v>
      </c>
      <c r="G8" s="5">
        <f t="shared" ref="G8:G17" si="4">+E8</f>
        <v>15.082277875111302</v>
      </c>
      <c r="H8" s="36">
        <f t="shared" ref="H8:H17" si="5">+D8</f>
        <v>74.850300897801532</v>
      </c>
      <c r="I8" s="37">
        <f ca="1">+IF(A8 &lt;= $L$2, (Full_Report!C88-'Internal Working'!C8),"")</f>
        <v>35.533431576106594</v>
      </c>
      <c r="J8" s="37">
        <f t="shared" ref="J8:J71" ca="1" si="6">IF(I8="","0",(I8+J7))</f>
        <v>106.60029472831978</v>
      </c>
      <c r="K8" s="35" t="str">
        <f t="shared" ref="K8:K71" ca="1" si="7">+IF(A8="","0",IF(A8&gt;$L$2,(K7-C8),"0"))</f>
        <v>0</v>
      </c>
      <c r="L8" s="35">
        <f t="shared" ca="1" si="0"/>
        <v>106.60029472831978</v>
      </c>
      <c r="M8" s="35"/>
      <c r="N8" s="13">
        <v>3</v>
      </c>
      <c r="O8">
        <v>101.40899497669841</v>
      </c>
      <c r="P8"/>
    </row>
    <row r="9" spans="1:16" ht="14.4" x14ac:dyDescent="0.3">
      <c r="A9" s="1">
        <f>IF(OR(A8="",F8=0,A8=Refinance_Calculator!$C$29),"",A8+1)</f>
        <v>4</v>
      </c>
      <c r="B9" s="3">
        <f t="shared" si="1"/>
        <v>14954.977901685199</v>
      </c>
      <c r="C9" s="3">
        <f>IF(A9="","",(-PMT(Refinance_Calculator!$C$26/12,Refinance_Calculator!$C$29,Refinance_Calculator!$C$23,0,0)))</f>
        <v>89.932578772912834</v>
      </c>
      <c r="D9" s="3">
        <f t="shared" si="2"/>
        <v>74.774889508425971</v>
      </c>
      <c r="E9" s="3">
        <f>IF(A9="","",(-PPMT(Refinance_Calculator!$C$26/12,'Internal Working'!A9,Refinance_Calculator!$C$29,Refinance_Calculator!$C$23,0,0)))</f>
        <v>15.157689264486859</v>
      </c>
      <c r="F9" s="3">
        <f t="shared" si="3"/>
        <v>14939.820212420713</v>
      </c>
      <c r="G9" s="5">
        <f t="shared" si="4"/>
        <v>15.157689264486859</v>
      </c>
      <c r="H9" s="36">
        <f t="shared" si="5"/>
        <v>74.774889508425971</v>
      </c>
      <c r="I9" s="37">
        <f ca="1">+IF(A9 &lt;= $L$2, (Full_Report!C89-'Internal Working'!C9),"")</f>
        <v>35.533431576106594</v>
      </c>
      <c r="J9" s="37">
        <f t="shared" ca="1" si="6"/>
        <v>142.13372630442638</v>
      </c>
      <c r="K9" s="35" t="str">
        <f t="shared" ca="1" si="7"/>
        <v>0</v>
      </c>
      <c r="L9" s="35">
        <f t="shared" ca="1" si="0"/>
        <v>142.13372630442638</v>
      </c>
      <c r="M9" s="35"/>
      <c r="N9" s="13">
        <v>4</v>
      </c>
      <c r="O9">
        <v>135.21199330226455</v>
      </c>
      <c r="P9"/>
    </row>
    <row r="10" spans="1:16" ht="14.4" x14ac:dyDescent="0.3">
      <c r="A10" s="1">
        <f>IF(OR(A9="",F9=0,A9=Refinance_Calculator!$C$29),"",A9+1)</f>
        <v>5</v>
      </c>
      <c r="B10" s="3">
        <f t="shared" si="1"/>
        <v>14939.820212420713</v>
      </c>
      <c r="C10" s="3">
        <f>IF(A10="","",(-PMT(Refinance_Calculator!$C$26/12,Refinance_Calculator!$C$29,Refinance_Calculator!$C$23,0,0)))</f>
        <v>89.932578772912834</v>
      </c>
      <c r="D10" s="3">
        <f t="shared" si="2"/>
        <v>74.699101062103537</v>
      </c>
      <c r="E10" s="3">
        <f>IF(A10="","",(-PPMT(Refinance_Calculator!$C$26/12,'Internal Working'!A10,Refinance_Calculator!$C$29,Refinance_Calculator!$C$23,0,0)))</f>
        <v>15.233477710809293</v>
      </c>
      <c r="F10" s="3">
        <f t="shared" si="3"/>
        <v>14924.586734709903</v>
      </c>
      <c r="G10" s="5">
        <f t="shared" si="4"/>
        <v>15.233477710809293</v>
      </c>
      <c r="H10" s="36">
        <f t="shared" si="5"/>
        <v>74.699101062103537</v>
      </c>
      <c r="I10" s="37">
        <f ca="1">+IF(A10 &lt;= $L$2, (Full_Report!C90-'Internal Working'!C10),"")</f>
        <v>35.533431576106594</v>
      </c>
      <c r="J10" s="37">
        <f t="shared" ca="1" si="6"/>
        <v>177.66715788053295</v>
      </c>
      <c r="K10" s="35" t="str">
        <f t="shared" ca="1" si="7"/>
        <v>0</v>
      </c>
      <c r="L10" s="35">
        <f t="shared" ca="1" si="0"/>
        <v>177.66715788053295</v>
      </c>
      <c r="M10" s="35"/>
      <c r="N10" s="13">
        <v>5</v>
      </c>
      <c r="O10">
        <v>169.01499162783068</v>
      </c>
      <c r="P10"/>
    </row>
    <row r="11" spans="1:16" ht="14.4" x14ac:dyDescent="0.3">
      <c r="A11" s="1">
        <f>IF(OR(A10="",F10=0,A10=Refinance_Calculator!$C$29),"",A10+1)</f>
        <v>6</v>
      </c>
      <c r="B11" s="3">
        <f t="shared" si="1"/>
        <v>14924.586734709903</v>
      </c>
      <c r="C11" s="3">
        <f>IF(A11="","",(-PMT(Refinance_Calculator!$C$26/12,Refinance_Calculator!$C$29,Refinance_Calculator!$C$23,0,0)))</f>
        <v>89.932578772912834</v>
      </c>
      <c r="D11" s="3">
        <f t="shared" si="2"/>
        <v>74.622933673549497</v>
      </c>
      <c r="E11" s="3">
        <f>IF(A11="","",(-PPMT(Refinance_Calculator!$C$26/12,'Internal Working'!A11,Refinance_Calculator!$C$29,Refinance_Calculator!$C$23,0,0)))</f>
        <v>15.30964509936334</v>
      </c>
      <c r="F11" s="3">
        <f t="shared" si="3"/>
        <v>14909.277089610539</v>
      </c>
      <c r="G11" s="5">
        <f t="shared" si="4"/>
        <v>15.30964509936334</v>
      </c>
      <c r="H11" s="36">
        <f t="shared" si="5"/>
        <v>74.622933673549497</v>
      </c>
      <c r="I11" s="37">
        <f ca="1">+IF(A11 &lt;= $L$2, (Full_Report!C91-'Internal Working'!C11),"")</f>
        <v>35.533431576106594</v>
      </c>
      <c r="J11" s="37">
        <f t="shared" ca="1" si="6"/>
        <v>213.20058945663953</v>
      </c>
      <c r="K11" s="35" t="str">
        <f t="shared" ca="1" si="7"/>
        <v>0</v>
      </c>
      <c r="L11" s="35">
        <f t="shared" ca="1" si="0"/>
        <v>213.20058945663953</v>
      </c>
      <c r="M11" s="35"/>
      <c r="N11" s="13">
        <v>6</v>
      </c>
      <c r="O11">
        <v>202.81798995339682</v>
      </c>
      <c r="P11"/>
    </row>
    <row r="12" spans="1:16" ht="14.4" x14ac:dyDescent="0.3">
      <c r="A12" s="1">
        <f>IF(OR(A11="",F11=0,A11=Refinance_Calculator!$C$29),"",A11+1)</f>
        <v>7</v>
      </c>
      <c r="B12" s="3">
        <f t="shared" si="1"/>
        <v>14909.277089610539</v>
      </c>
      <c r="C12" s="3">
        <f>IF(A12="","",(-PMT(Refinance_Calculator!$C$26/12,Refinance_Calculator!$C$29,Refinance_Calculator!$C$23,0,0)))</f>
        <v>89.932578772912834</v>
      </c>
      <c r="D12" s="3">
        <f t="shared" si="2"/>
        <v>74.546385448052675</v>
      </c>
      <c r="E12" s="3">
        <f>IF(A12="","",(-PPMT(Refinance_Calculator!$C$26/12,'Internal Working'!A12,Refinance_Calculator!$C$29,Refinance_Calculator!$C$23,0,0)))</f>
        <v>15.386193324860155</v>
      </c>
      <c r="F12" s="3">
        <f t="shared" si="3"/>
        <v>14893.890896285679</v>
      </c>
      <c r="G12" s="5">
        <f t="shared" si="4"/>
        <v>15.386193324860155</v>
      </c>
      <c r="H12" s="36">
        <f t="shared" si="5"/>
        <v>74.546385448052675</v>
      </c>
      <c r="I12" s="37">
        <f ca="1">+IF(A12 &lt;= $L$2, (Full_Report!C92-'Internal Working'!C12),"")</f>
        <v>35.533431576106594</v>
      </c>
      <c r="J12" s="37">
        <f t="shared" ca="1" si="6"/>
        <v>248.73402103274611</v>
      </c>
      <c r="K12" s="35" t="str">
        <f t="shared" ca="1" si="7"/>
        <v>0</v>
      </c>
      <c r="L12" s="35">
        <f t="shared" ca="1" si="0"/>
        <v>248.73402103274611</v>
      </c>
      <c r="M12" s="35"/>
      <c r="N12" s="13">
        <v>7</v>
      </c>
      <c r="O12">
        <v>236.62098827896295</v>
      </c>
      <c r="P12"/>
    </row>
    <row r="13" spans="1:16" ht="14.4" x14ac:dyDescent="0.3">
      <c r="A13" s="1">
        <f>IF(OR(A12="",F12=0,A12=Refinance_Calculator!$C$29),"",A12+1)</f>
        <v>8</v>
      </c>
      <c r="B13" s="3">
        <f t="shared" si="1"/>
        <v>14893.890896285679</v>
      </c>
      <c r="C13" s="3">
        <f>IF(A13="","",(-PMT(Refinance_Calculator!$C$26/12,Refinance_Calculator!$C$29,Refinance_Calculator!$C$23,0,0)))</f>
        <v>89.932578772912834</v>
      </c>
      <c r="D13" s="3">
        <f t="shared" si="2"/>
        <v>74.469454481428372</v>
      </c>
      <c r="E13" s="3">
        <f>IF(A13="","",(-PPMT(Refinance_Calculator!$C$26/12,'Internal Working'!A13,Refinance_Calculator!$C$29,Refinance_Calculator!$C$23,0,0)))</f>
        <v>15.463124291484458</v>
      </c>
      <c r="F13" s="3">
        <f t="shared" si="3"/>
        <v>14878.427771994195</v>
      </c>
      <c r="G13" s="5">
        <f t="shared" si="4"/>
        <v>15.463124291484458</v>
      </c>
      <c r="H13" s="36">
        <f t="shared" si="5"/>
        <v>74.469454481428372</v>
      </c>
      <c r="I13" s="37">
        <f ca="1">+IF(A13 &lt;= $L$2, (Full_Report!C93-'Internal Working'!C13),"")</f>
        <v>35.533431576106594</v>
      </c>
      <c r="J13" s="37">
        <f t="shared" ca="1" si="6"/>
        <v>284.26745260885269</v>
      </c>
      <c r="K13" s="35" t="str">
        <f t="shared" ca="1" si="7"/>
        <v>0</v>
      </c>
      <c r="L13" s="35">
        <f t="shared" ca="1" si="0"/>
        <v>284.26745260885269</v>
      </c>
      <c r="M13" s="35"/>
      <c r="N13" s="13">
        <v>8</v>
      </c>
      <c r="O13">
        <v>270.42398660452909</v>
      </c>
      <c r="P13"/>
    </row>
    <row r="14" spans="1:16" ht="14.4" x14ac:dyDescent="0.3">
      <c r="A14" s="1">
        <f>IF(OR(A13="",F13=0,A13=Refinance_Calculator!$C$29),"",A13+1)</f>
        <v>9</v>
      </c>
      <c r="B14" s="3">
        <f t="shared" si="1"/>
        <v>14878.427771994195</v>
      </c>
      <c r="C14" s="3">
        <f>IF(A14="","",(-PMT(Refinance_Calculator!$C$26/12,Refinance_Calculator!$C$29,Refinance_Calculator!$C$23,0,0)))</f>
        <v>89.932578772912834</v>
      </c>
      <c r="D14" s="3">
        <f t="shared" si="2"/>
        <v>74.392138859970956</v>
      </c>
      <c r="E14" s="3">
        <f>IF(A14="","",(-PPMT(Refinance_Calculator!$C$26/12,'Internal Working'!A14,Refinance_Calculator!$C$29,Refinance_Calculator!$C$23,0,0)))</f>
        <v>15.54043991294188</v>
      </c>
      <c r="F14" s="3">
        <f t="shared" si="3"/>
        <v>14862.887332081253</v>
      </c>
      <c r="G14" s="5">
        <f t="shared" si="4"/>
        <v>15.54043991294188</v>
      </c>
      <c r="H14" s="36">
        <f t="shared" si="5"/>
        <v>74.392138859970956</v>
      </c>
      <c r="I14" s="37">
        <f ca="1">+IF(A14 &lt;= $L$2, (Full_Report!C94-'Internal Working'!C14),"")</f>
        <v>35.533431576106594</v>
      </c>
      <c r="J14" s="37">
        <f t="shared" ca="1" si="6"/>
        <v>319.80088418495927</v>
      </c>
      <c r="K14" s="35" t="str">
        <f t="shared" ca="1" si="7"/>
        <v>0</v>
      </c>
      <c r="L14" s="35">
        <f t="shared" ca="1" si="0"/>
        <v>319.80088418495927</v>
      </c>
      <c r="M14" s="35"/>
      <c r="N14" s="13">
        <v>9</v>
      </c>
      <c r="O14">
        <v>304.22698493009523</v>
      </c>
      <c r="P14"/>
    </row>
    <row r="15" spans="1:16" ht="14.4" x14ac:dyDescent="0.3">
      <c r="A15" s="1">
        <f>IF(OR(A14="",F14=0,A14=Refinance_Calculator!$C$29),"",A14+1)</f>
        <v>10</v>
      </c>
      <c r="B15" s="3">
        <f t="shared" si="1"/>
        <v>14862.887332081253</v>
      </c>
      <c r="C15" s="3">
        <f>IF(A15="","",(-PMT(Refinance_Calculator!$C$26/12,Refinance_Calculator!$C$29,Refinance_Calculator!$C$23,0,0)))</f>
        <v>89.932578772912834</v>
      </c>
      <c r="D15" s="3">
        <f t="shared" si="2"/>
        <v>74.314436660406244</v>
      </c>
      <c r="E15" s="3">
        <f>IF(A15="","",(-PPMT(Refinance_Calculator!$C$26/12,'Internal Working'!A15,Refinance_Calculator!$C$29,Refinance_Calculator!$C$23,0,0)))</f>
        <v>15.61814211250659</v>
      </c>
      <c r="F15" s="3">
        <f t="shared" si="3"/>
        <v>14847.269189968745</v>
      </c>
      <c r="G15" s="5">
        <f t="shared" si="4"/>
        <v>15.61814211250659</v>
      </c>
      <c r="H15" s="36">
        <f t="shared" si="5"/>
        <v>74.314436660406244</v>
      </c>
      <c r="I15" s="37">
        <f ca="1">+IF(A15 &lt;= $L$2, (Full_Report!C95-'Internal Working'!C15),"")</f>
        <v>35.533431576106594</v>
      </c>
      <c r="J15" s="37">
        <f t="shared" ca="1" si="6"/>
        <v>355.33431576106585</v>
      </c>
      <c r="K15" s="35" t="str">
        <f t="shared" ca="1" si="7"/>
        <v>0</v>
      </c>
      <c r="L15" s="35">
        <f t="shared" ca="1" si="0"/>
        <v>355.33431576106585</v>
      </c>
      <c r="M15" s="35"/>
      <c r="N15" s="13">
        <v>10</v>
      </c>
      <c r="O15">
        <v>338.02998325566136</v>
      </c>
      <c r="P15"/>
    </row>
    <row r="16" spans="1:16" ht="14.4" x14ac:dyDescent="0.3">
      <c r="A16" s="1">
        <f>IF(OR(A15="",F15=0,A15=Refinance_Calculator!$C$29),"",A15+1)</f>
        <v>11</v>
      </c>
      <c r="B16" s="3">
        <f t="shared" si="1"/>
        <v>14847.269189968745</v>
      </c>
      <c r="C16" s="3">
        <f>IF(A16="","",(-PMT(Refinance_Calculator!$C$26/12,Refinance_Calculator!$C$29,Refinance_Calculator!$C$23,0,0)))</f>
        <v>89.932578772912834</v>
      </c>
      <c r="D16" s="3">
        <f t="shared" si="2"/>
        <v>74.236345949843709</v>
      </c>
      <c r="E16" s="3">
        <f>IF(A16="","",(-PPMT(Refinance_Calculator!$C$26/12,'Internal Working'!A16,Refinance_Calculator!$C$29,Refinance_Calculator!$C$23,0,0)))</f>
        <v>15.696232823069122</v>
      </c>
      <c r="F16" s="3">
        <f t="shared" si="3"/>
        <v>14831.572957145676</v>
      </c>
      <c r="G16" s="5">
        <f t="shared" si="4"/>
        <v>15.696232823069122</v>
      </c>
      <c r="H16" s="36">
        <f t="shared" si="5"/>
        <v>74.236345949843709</v>
      </c>
      <c r="I16" s="37">
        <f ca="1">+IF(A16 &lt;= $L$2, (Full_Report!C96-'Internal Working'!C16),"")</f>
        <v>35.533431576106594</v>
      </c>
      <c r="J16" s="37">
        <f t="shared" ca="1" si="6"/>
        <v>390.86774733717243</v>
      </c>
      <c r="K16" s="35" t="str">
        <f t="shared" ca="1" si="7"/>
        <v>0</v>
      </c>
      <c r="L16" s="35">
        <f t="shared" ca="1" si="0"/>
        <v>390.86774733717243</v>
      </c>
      <c r="M16" s="35"/>
      <c r="N16" s="13">
        <v>11</v>
      </c>
      <c r="O16">
        <v>371.8329815812275</v>
      </c>
      <c r="P16"/>
    </row>
    <row r="17" spans="1:16" ht="14.4" x14ac:dyDescent="0.3">
      <c r="A17" s="1">
        <f>IF(OR(A16="",F16=0,A16=Refinance_Calculator!$C$29),"",A16+1)</f>
        <v>12</v>
      </c>
      <c r="B17" s="3">
        <f t="shared" si="1"/>
        <v>14831.572957145676</v>
      </c>
      <c r="C17" s="3">
        <f>IF(A17="","",(-PMT(Refinance_Calculator!$C$26/12,Refinance_Calculator!$C$29,Refinance_Calculator!$C$23,0,0)))</f>
        <v>89.932578772912834</v>
      </c>
      <c r="D17" s="3">
        <f t="shared" si="2"/>
        <v>74.157864785728364</v>
      </c>
      <c r="E17" s="3">
        <f>IF(A17="","",(-PPMT(Refinance_Calculator!$C$26/12,'Internal Working'!A17,Refinance_Calculator!$C$29,Refinance_Calculator!$C$23,0,0)))</f>
        <v>15.774713987184466</v>
      </c>
      <c r="F17" s="3">
        <f t="shared" si="3"/>
        <v>14815.798243158491</v>
      </c>
      <c r="G17" s="5">
        <f t="shared" si="4"/>
        <v>15.774713987184466</v>
      </c>
      <c r="H17" s="36">
        <f t="shared" si="5"/>
        <v>74.157864785728364</v>
      </c>
      <c r="I17" s="37">
        <f ca="1">+IF(A17 &lt;= $L$2, (Full_Report!C97-'Internal Working'!C17),"")</f>
        <v>35.533431576106594</v>
      </c>
      <c r="J17" s="37">
        <f t="shared" ca="1" si="6"/>
        <v>426.40117891327901</v>
      </c>
      <c r="K17" s="35" t="str">
        <f t="shared" ca="1" si="7"/>
        <v>0</v>
      </c>
      <c r="L17" s="35">
        <f t="shared" ca="1" si="0"/>
        <v>426.40117891327901</v>
      </c>
      <c r="M17" s="35"/>
      <c r="N17" s="13">
        <v>12</v>
      </c>
      <c r="O17">
        <v>405.63597990679364</v>
      </c>
      <c r="P17"/>
    </row>
    <row r="18" spans="1:16" ht="14.4" x14ac:dyDescent="0.3">
      <c r="A18" s="1">
        <f>IF(OR(A17="",F17=0,A17=Refinance_Calculator!$C$29),"",A17+1)</f>
        <v>13</v>
      </c>
      <c r="B18" s="3">
        <f t="shared" ref="B18:B81" si="8">IF(A18="","",(F17))</f>
        <v>14815.798243158491</v>
      </c>
      <c r="C18" s="3">
        <f>IF(A18="","",(-PMT(Refinance_Calculator!$C$26/12,Refinance_Calculator!$C$29,Refinance_Calculator!$C$23,0,0)))</f>
        <v>89.932578772912834</v>
      </c>
      <c r="D18" s="3">
        <f t="shared" ref="D18:D81" si="9">+IF(A18="","",(C18-E18))</f>
        <v>74.078991215792442</v>
      </c>
      <c r="E18" s="3">
        <f>IF(A18="","",(-PPMT(Refinance_Calculator!$C$26/12,'Internal Working'!A18,Refinance_Calculator!$C$29,Refinance_Calculator!$C$23,0,0)))</f>
        <v>15.853587557120392</v>
      </c>
      <c r="F18" s="3">
        <f t="shared" ref="F18:F81" si="10">+IF(A18="","",(B18-E18))</f>
        <v>14799.944655601372</v>
      </c>
      <c r="G18" s="5">
        <f t="shared" ref="G18:G81" si="11">+E18</f>
        <v>15.853587557120392</v>
      </c>
      <c r="H18" s="36">
        <f t="shared" ref="H18:H81" si="12">+D18</f>
        <v>74.078991215792442</v>
      </c>
      <c r="I18" s="37">
        <f ca="1">+IF(A18 &lt;= $L$2, (Full_Report!C98-'Internal Working'!C18),"")</f>
        <v>35.533431576106594</v>
      </c>
      <c r="J18" s="37">
        <f t="shared" ca="1" si="6"/>
        <v>461.93461048938559</v>
      </c>
      <c r="K18" s="35" t="str">
        <f t="shared" ca="1" si="7"/>
        <v>0</v>
      </c>
      <c r="L18" s="35">
        <f t="shared" ca="1" si="0"/>
        <v>461.93461048938559</v>
      </c>
      <c r="M18" s="35"/>
      <c r="N18" s="13">
        <v>13</v>
      </c>
      <c r="O18">
        <v>439.43897823235977</v>
      </c>
      <c r="P18"/>
    </row>
    <row r="19" spans="1:16" ht="14.4" x14ac:dyDescent="0.3">
      <c r="A19" s="1">
        <f>IF(OR(A18="",F18=0,A18=Refinance_Calculator!$C$29),"",A18+1)</f>
        <v>14</v>
      </c>
      <c r="B19" s="3">
        <f t="shared" si="8"/>
        <v>14799.944655601372</v>
      </c>
      <c r="C19" s="3">
        <f>IF(A19="","",(-PMT(Refinance_Calculator!$C$26/12,Refinance_Calculator!$C$29,Refinance_Calculator!$C$23,0,0)))</f>
        <v>89.932578772912834</v>
      </c>
      <c r="D19" s="3">
        <f t="shared" si="9"/>
        <v>73.99972327800684</v>
      </c>
      <c r="E19" s="3">
        <f>IF(A19="","",(-PPMT(Refinance_Calculator!$C$26/12,'Internal Working'!A19,Refinance_Calculator!$C$29,Refinance_Calculator!$C$23,0,0)))</f>
        <v>15.93285549490599</v>
      </c>
      <c r="F19" s="3">
        <f t="shared" si="10"/>
        <v>14784.011800106466</v>
      </c>
      <c r="G19" s="5">
        <f t="shared" si="11"/>
        <v>15.93285549490599</v>
      </c>
      <c r="H19" s="36">
        <f t="shared" si="12"/>
        <v>73.99972327800684</v>
      </c>
      <c r="I19" s="37">
        <f ca="1">+IF(A19 &lt;= $L$2, (Full_Report!C99-'Internal Working'!C19),"")</f>
        <v>35.533431576106594</v>
      </c>
      <c r="J19" s="37">
        <f t="shared" ca="1" si="6"/>
        <v>497.46804206549217</v>
      </c>
      <c r="K19" s="35" t="str">
        <f t="shared" ca="1" si="7"/>
        <v>0</v>
      </c>
      <c r="L19" s="35">
        <f t="shared" ca="1" si="0"/>
        <v>497.46804206549217</v>
      </c>
      <c r="M19" s="35"/>
      <c r="N19" s="13">
        <v>14</v>
      </c>
      <c r="O19">
        <v>473.24197655792591</v>
      </c>
      <c r="P19"/>
    </row>
    <row r="20" spans="1:16" ht="14.4" x14ac:dyDescent="0.3">
      <c r="A20" s="1">
        <f>IF(OR(A19="",F19=0,A19=Refinance_Calculator!$C$29),"",A19+1)</f>
        <v>15</v>
      </c>
      <c r="B20" s="3">
        <f t="shared" si="8"/>
        <v>14784.011800106466</v>
      </c>
      <c r="C20" s="3">
        <f>IF(A20="","",(-PMT(Refinance_Calculator!$C$26/12,Refinance_Calculator!$C$29,Refinance_Calculator!$C$23,0,0)))</f>
        <v>89.932578772912834</v>
      </c>
      <c r="D20" s="3">
        <f t="shared" si="9"/>
        <v>73.920059000532319</v>
      </c>
      <c r="E20" s="3">
        <f>IF(A20="","",(-PPMT(Refinance_Calculator!$C$26/12,'Internal Working'!A20,Refinance_Calculator!$C$29,Refinance_Calculator!$C$23,0,0)))</f>
        <v>16.012519772380521</v>
      </c>
      <c r="F20" s="3">
        <f t="shared" si="10"/>
        <v>14767.999280334085</v>
      </c>
      <c r="G20" s="5">
        <f t="shared" si="11"/>
        <v>16.012519772380521</v>
      </c>
      <c r="H20" s="36">
        <f t="shared" si="12"/>
        <v>73.920059000532319</v>
      </c>
      <c r="I20" s="37">
        <f ca="1">+IF(A20 &lt;= $L$2, (Full_Report!C100-'Internal Working'!C20),"")</f>
        <v>35.533431576106594</v>
      </c>
      <c r="J20" s="37">
        <f t="shared" ca="1" si="6"/>
        <v>533.00147364159875</v>
      </c>
      <c r="K20" s="35" t="str">
        <f t="shared" ca="1" si="7"/>
        <v>0</v>
      </c>
      <c r="L20" s="35">
        <f t="shared" ca="1" si="0"/>
        <v>533.00147364159875</v>
      </c>
      <c r="M20" s="35"/>
      <c r="N20" s="13">
        <v>15</v>
      </c>
      <c r="O20">
        <v>507.04497488349205</v>
      </c>
      <c r="P20"/>
    </row>
    <row r="21" spans="1:16" ht="14.4" x14ac:dyDescent="0.3">
      <c r="A21" s="1">
        <f>IF(OR(A20="",F20=0,A20=Refinance_Calculator!$C$29),"",A20+1)</f>
        <v>16</v>
      </c>
      <c r="B21" s="3">
        <f t="shared" si="8"/>
        <v>14767.999280334085</v>
      </c>
      <c r="C21" s="3">
        <f>IF(A21="","",(-PMT(Refinance_Calculator!$C$26/12,Refinance_Calculator!$C$29,Refinance_Calculator!$C$23,0,0)))</f>
        <v>89.932578772912834</v>
      </c>
      <c r="D21" s="3">
        <f t="shared" si="9"/>
        <v>73.839996401670419</v>
      </c>
      <c r="E21" s="3">
        <f>IF(A21="","",(-PPMT(Refinance_Calculator!$C$26/12,'Internal Working'!A21,Refinance_Calculator!$C$29,Refinance_Calculator!$C$23,0,0)))</f>
        <v>16.092582371242422</v>
      </c>
      <c r="F21" s="3">
        <f t="shared" si="10"/>
        <v>14751.906697962842</v>
      </c>
      <c r="G21" s="5">
        <f t="shared" si="11"/>
        <v>16.092582371242422</v>
      </c>
      <c r="H21" s="36">
        <f t="shared" si="12"/>
        <v>73.839996401670419</v>
      </c>
      <c r="I21" s="37">
        <f ca="1">+IF(A21 &lt;= $L$2, (Full_Report!C101-'Internal Working'!C21),"")</f>
        <v>35.533431576106594</v>
      </c>
      <c r="J21" s="37">
        <f t="shared" ca="1" si="6"/>
        <v>568.53490521770539</v>
      </c>
      <c r="K21" s="35" t="str">
        <f t="shared" ca="1" si="7"/>
        <v>0</v>
      </c>
      <c r="L21" s="35">
        <f t="shared" ca="1" si="0"/>
        <v>568.53490521770539</v>
      </c>
      <c r="M21" s="35"/>
      <c r="N21" s="13">
        <v>16</v>
      </c>
      <c r="O21">
        <v>540.84797320905818</v>
      </c>
      <c r="P21"/>
    </row>
    <row r="22" spans="1:16" ht="14.4" x14ac:dyDescent="0.3">
      <c r="A22" s="1">
        <f>IF(OR(A21="",F21=0,A21=Refinance_Calculator!$C$29),"",A21+1)</f>
        <v>17</v>
      </c>
      <c r="B22" s="3">
        <f t="shared" si="8"/>
        <v>14751.906697962842</v>
      </c>
      <c r="C22" s="3">
        <f>IF(A22="","",(-PMT(Refinance_Calculator!$C$26/12,Refinance_Calculator!$C$29,Refinance_Calculator!$C$23,0,0)))</f>
        <v>89.932578772912834</v>
      </c>
      <c r="D22" s="3">
        <f t="shared" si="9"/>
        <v>73.759533489814203</v>
      </c>
      <c r="E22" s="3">
        <f>IF(A22="","",(-PPMT(Refinance_Calculator!$C$26/12,'Internal Working'!A22,Refinance_Calculator!$C$29,Refinance_Calculator!$C$23,0,0)))</f>
        <v>16.173045283098638</v>
      </c>
      <c r="F22" s="3">
        <f t="shared" si="10"/>
        <v>14735.733652679744</v>
      </c>
      <c r="G22" s="5">
        <f t="shared" si="11"/>
        <v>16.173045283098638</v>
      </c>
      <c r="H22" s="36">
        <f t="shared" si="12"/>
        <v>73.759533489814203</v>
      </c>
      <c r="I22" s="37">
        <f ca="1">+IF(A22 &lt;= $L$2, (Full_Report!C102-'Internal Working'!C22),"")</f>
        <v>35.533431576106594</v>
      </c>
      <c r="J22" s="37">
        <f t="shared" ca="1" si="6"/>
        <v>604.06833679381202</v>
      </c>
      <c r="K22" s="35" t="str">
        <f t="shared" ca="1" si="7"/>
        <v>0</v>
      </c>
      <c r="L22" s="35">
        <f t="shared" ca="1" si="0"/>
        <v>604.06833679381202</v>
      </c>
      <c r="M22" s="35"/>
      <c r="N22" s="13">
        <v>17</v>
      </c>
      <c r="O22">
        <v>574.65097153462432</v>
      </c>
      <c r="P22"/>
    </row>
    <row r="23" spans="1:16" ht="14.4" x14ac:dyDescent="0.3">
      <c r="A23" s="1">
        <f>IF(OR(A22="",F22=0,A22=Refinance_Calculator!$C$29),"",A22+1)</f>
        <v>18</v>
      </c>
      <c r="B23" s="3">
        <f t="shared" si="8"/>
        <v>14735.733652679744</v>
      </c>
      <c r="C23" s="3">
        <f>IF(A23="","",(-PMT(Refinance_Calculator!$C$26/12,Refinance_Calculator!$C$29,Refinance_Calculator!$C$23,0,0)))</f>
        <v>89.932578772912834</v>
      </c>
      <c r="D23" s="3">
        <f t="shared" si="9"/>
        <v>73.678668263398706</v>
      </c>
      <c r="E23" s="3">
        <f>IF(A23="","",(-PPMT(Refinance_Calculator!$C$26/12,'Internal Working'!A23,Refinance_Calculator!$C$29,Refinance_Calculator!$C$23,0,0)))</f>
        <v>16.253910509514128</v>
      </c>
      <c r="F23" s="3">
        <f t="shared" si="10"/>
        <v>14719.47974217023</v>
      </c>
      <c r="G23" s="5">
        <f t="shared" si="11"/>
        <v>16.253910509514128</v>
      </c>
      <c r="H23" s="36">
        <f t="shared" si="12"/>
        <v>73.678668263398706</v>
      </c>
      <c r="I23" s="37">
        <f ca="1">+IF(A23 &lt;= $L$2, (Full_Report!C103-'Internal Working'!C23),"")</f>
        <v>35.533431576106594</v>
      </c>
      <c r="J23" s="37">
        <f t="shared" ca="1" si="6"/>
        <v>639.60176836991866</v>
      </c>
      <c r="K23" s="35" t="str">
        <f t="shared" ca="1" si="7"/>
        <v>0</v>
      </c>
      <c r="L23" s="35">
        <f t="shared" ca="1" si="0"/>
        <v>639.60176836991866</v>
      </c>
      <c r="M23" s="35"/>
      <c r="N23" s="13">
        <v>18</v>
      </c>
      <c r="O23">
        <v>608.45396986019045</v>
      </c>
    </row>
    <row r="24" spans="1:16" ht="14.4" x14ac:dyDescent="0.3">
      <c r="A24" s="1">
        <f>IF(OR(A23="",F23=0,A23=Refinance_Calculator!$C$29),"",A23+1)</f>
        <v>19</v>
      </c>
      <c r="B24" s="3">
        <f t="shared" si="8"/>
        <v>14719.47974217023</v>
      </c>
      <c r="C24" s="3">
        <f>IF(A24="","",(-PMT(Refinance_Calculator!$C$26/12,Refinance_Calculator!$C$29,Refinance_Calculator!$C$23,0,0)))</f>
        <v>89.932578772912834</v>
      </c>
      <c r="D24" s="3">
        <f t="shared" si="9"/>
        <v>73.597398710851138</v>
      </c>
      <c r="E24" s="3">
        <f>IF(A24="","",(-PPMT(Refinance_Calculator!$C$26/12,'Internal Working'!A24,Refinance_Calculator!$C$29,Refinance_Calculator!$C$23,0,0)))</f>
        <v>16.335180062061703</v>
      </c>
      <c r="F24" s="3">
        <f t="shared" si="10"/>
        <v>14703.144562108168</v>
      </c>
      <c r="G24" s="5">
        <f t="shared" si="11"/>
        <v>16.335180062061703</v>
      </c>
      <c r="H24" s="36">
        <f t="shared" si="12"/>
        <v>73.597398710851138</v>
      </c>
      <c r="I24" s="37">
        <f ca="1">+IF(A24 &lt;= $L$2, (Full_Report!C104-'Internal Working'!C24),"")</f>
        <v>35.533431576106594</v>
      </c>
      <c r="J24" s="37">
        <f t="shared" ca="1" si="6"/>
        <v>675.1351999460253</v>
      </c>
      <c r="K24" s="35" t="str">
        <f t="shared" ca="1" si="7"/>
        <v>0</v>
      </c>
      <c r="L24" s="35">
        <f t="shared" ca="1" si="0"/>
        <v>675.1351999460253</v>
      </c>
      <c r="M24" s="35"/>
      <c r="N24" s="13">
        <v>19</v>
      </c>
      <c r="O24">
        <v>642.25696818575659</v>
      </c>
    </row>
    <row r="25" spans="1:16" ht="14.4" x14ac:dyDescent="0.3">
      <c r="A25" s="1">
        <f>IF(OR(A24="",F24=0,A24=Refinance_Calculator!$C$29),"",A24+1)</f>
        <v>20</v>
      </c>
      <c r="B25" s="3">
        <f t="shared" si="8"/>
        <v>14703.144562108168</v>
      </c>
      <c r="C25" s="3">
        <f>IF(A25="","",(-PMT(Refinance_Calculator!$C$26/12,Refinance_Calculator!$C$29,Refinance_Calculator!$C$23,0,0)))</f>
        <v>89.932578772912834</v>
      </c>
      <c r="D25" s="3">
        <f t="shared" si="9"/>
        <v>73.515722810540822</v>
      </c>
      <c r="E25" s="3">
        <f>IF(A25="","",(-PPMT(Refinance_Calculator!$C$26/12,'Internal Working'!A25,Refinance_Calculator!$C$29,Refinance_Calculator!$C$23,0,0)))</f>
        <v>16.416855962372008</v>
      </c>
      <c r="F25" s="3">
        <f t="shared" si="10"/>
        <v>14686.727706145795</v>
      </c>
      <c r="G25" s="5">
        <f t="shared" si="11"/>
        <v>16.416855962372008</v>
      </c>
      <c r="H25" s="36">
        <f t="shared" si="12"/>
        <v>73.515722810540822</v>
      </c>
      <c r="I25" s="37">
        <f ca="1">+IF(A25 &lt;= $L$2, (Full_Report!C105-'Internal Working'!C25),"")</f>
        <v>35.533431576106594</v>
      </c>
      <c r="J25" s="37">
        <f t="shared" ca="1" si="6"/>
        <v>710.66863152213193</v>
      </c>
      <c r="K25" s="35" t="str">
        <f t="shared" ca="1" si="7"/>
        <v>0</v>
      </c>
      <c r="L25" s="35">
        <f t="shared" ca="1" si="0"/>
        <v>710.66863152213193</v>
      </c>
      <c r="M25" s="35"/>
      <c r="N25" s="13">
        <v>20</v>
      </c>
      <c r="O25">
        <v>676.05996651132273</v>
      </c>
    </row>
    <row r="26" spans="1:16" ht="14.4" x14ac:dyDescent="0.3">
      <c r="A26" s="1">
        <f>IF(OR(A25="",F25=0,A25=Refinance_Calculator!$C$29),"",A25+1)</f>
        <v>21</v>
      </c>
      <c r="B26" s="3">
        <f t="shared" si="8"/>
        <v>14686.727706145795</v>
      </c>
      <c r="C26" s="3">
        <f>IF(A26="","",(-PMT(Refinance_Calculator!$C$26/12,Refinance_Calculator!$C$29,Refinance_Calculator!$C$23,0,0)))</f>
        <v>89.932578772912834</v>
      </c>
      <c r="D26" s="3">
        <f t="shared" si="9"/>
        <v>73.433638530728956</v>
      </c>
      <c r="E26" s="3">
        <f>IF(A26="","",(-PPMT(Refinance_Calculator!$C$26/12,'Internal Working'!A26,Refinance_Calculator!$C$29,Refinance_Calculator!$C$23,0,0)))</f>
        <v>16.49894024218387</v>
      </c>
      <c r="F26" s="3">
        <f t="shared" si="10"/>
        <v>14670.228765903612</v>
      </c>
      <c r="G26" s="5">
        <f t="shared" si="11"/>
        <v>16.49894024218387</v>
      </c>
      <c r="H26" s="36">
        <f t="shared" si="12"/>
        <v>73.433638530728956</v>
      </c>
      <c r="I26" s="37">
        <f ca="1">+IF(A26 &lt;= $L$2, (Full_Report!C106-'Internal Working'!C26),"")</f>
        <v>35.533431576106594</v>
      </c>
      <c r="J26" s="37">
        <f t="shared" ca="1" si="6"/>
        <v>746.20206309823857</v>
      </c>
      <c r="K26" s="35" t="str">
        <f t="shared" ca="1" si="7"/>
        <v>0</v>
      </c>
      <c r="L26" s="35">
        <f t="shared" ca="1" si="0"/>
        <v>746.20206309823857</v>
      </c>
      <c r="M26" s="36"/>
      <c r="N26" s="13">
        <v>21</v>
      </c>
      <c r="O26">
        <v>-564.05457830575529</v>
      </c>
    </row>
    <row r="27" spans="1:16" ht="14.4" x14ac:dyDescent="0.3">
      <c r="A27" s="1">
        <f>IF(OR(A26="",F26=0,A26=Refinance_Calculator!$C$29),"",A26+1)</f>
        <v>22</v>
      </c>
      <c r="B27" s="3">
        <f t="shared" si="8"/>
        <v>14670.228765903612</v>
      </c>
      <c r="C27" s="3">
        <f>IF(A27="","",(-PMT(Refinance_Calculator!$C$26/12,Refinance_Calculator!$C$29,Refinance_Calculator!$C$23,0,0)))</f>
        <v>89.932578772912834</v>
      </c>
      <c r="D27" s="3">
        <f t="shared" si="9"/>
        <v>73.351143829518051</v>
      </c>
      <c r="E27" s="3">
        <f>IF(A27="","",(-PPMT(Refinance_Calculator!$C$26/12,'Internal Working'!A27,Refinance_Calculator!$C$29,Refinance_Calculator!$C$23,0,0)))</f>
        <v>16.581434943394786</v>
      </c>
      <c r="F27" s="3">
        <f t="shared" si="10"/>
        <v>14653.647330960217</v>
      </c>
      <c r="G27" s="5">
        <f t="shared" si="11"/>
        <v>16.581434943394786</v>
      </c>
      <c r="H27" s="36">
        <f t="shared" si="12"/>
        <v>73.351143829518051</v>
      </c>
      <c r="I27" s="37">
        <f ca="1">+IF(A27 &lt;= $L$2, (Full_Report!C107-'Internal Working'!C27),"")</f>
        <v>35.533431576106594</v>
      </c>
      <c r="J27" s="37">
        <f t="shared" ca="1" si="6"/>
        <v>781.7354946743452</v>
      </c>
      <c r="K27" s="35" t="str">
        <f t="shared" ca="1" si="7"/>
        <v>0</v>
      </c>
      <c r="L27" s="35">
        <f t="shared" ca="1" si="0"/>
        <v>781.7354946743452</v>
      </c>
      <c r="M27" s="36"/>
      <c r="N27" s="13">
        <v>22</v>
      </c>
      <c r="O27">
        <v>-1128.1091566115106</v>
      </c>
    </row>
    <row r="28" spans="1:16" ht="14.4" x14ac:dyDescent="0.3">
      <c r="A28" s="1">
        <f>IF(OR(A27="",F27=0,A27=Refinance_Calculator!$C$29),"",A27+1)</f>
        <v>23</v>
      </c>
      <c r="B28" s="3">
        <f t="shared" si="8"/>
        <v>14653.647330960217</v>
      </c>
      <c r="C28" s="3">
        <f>IF(A28="","",(-PMT(Refinance_Calculator!$C$26/12,Refinance_Calculator!$C$29,Refinance_Calculator!$C$23,0,0)))</f>
        <v>89.932578772912834</v>
      </c>
      <c r="D28" s="3">
        <f t="shared" si="9"/>
        <v>73.268236654801072</v>
      </c>
      <c r="E28" s="3">
        <f>IF(A28="","",(-PPMT(Refinance_Calculator!$C$26/12,'Internal Working'!A28,Refinance_Calculator!$C$29,Refinance_Calculator!$C$23,0,0)))</f>
        <v>16.664342118111762</v>
      </c>
      <c r="F28" s="3">
        <f t="shared" si="10"/>
        <v>14636.982988842105</v>
      </c>
      <c r="G28" s="5">
        <f t="shared" si="11"/>
        <v>16.664342118111762</v>
      </c>
      <c r="H28" s="36">
        <f t="shared" si="12"/>
        <v>73.268236654801072</v>
      </c>
      <c r="I28" s="37">
        <f ca="1">+IF(A28 &lt;= $L$2, (Full_Report!C108-'Internal Working'!C28),"")</f>
        <v>35.533431576106594</v>
      </c>
      <c r="J28" s="37">
        <f t="shared" ca="1" si="6"/>
        <v>817.26892625045184</v>
      </c>
      <c r="K28" s="35" t="str">
        <f t="shared" ca="1" si="7"/>
        <v>0</v>
      </c>
      <c r="L28" s="35">
        <f t="shared" ca="1" si="0"/>
        <v>817.26892625045184</v>
      </c>
      <c r="M28" s="36"/>
      <c r="N28" s="13">
        <v>23</v>
      </c>
      <c r="O28">
        <v>-1692.1637349172659</v>
      </c>
    </row>
    <row r="29" spans="1:16" ht="14.4" x14ac:dyDescent="0.3">
      <c r="A29" s="1">
        <f>IF(OR(A28="",F28=0,A28=Refinance_Calculator!$C$29),"",A28+1)</f>
        <v>24</v>
      </c>
      <c r="B29" s="3">
        <f t="shared" si="8"/>
        <v>14636.982988842105</v>
      </c>
      <c r="C29" s="3">
        <f>IF(A29="","",(-PMT(Refinance_Calculator!$C$26/12,Refinance_Calculator!$C$29,Refinance_Calculator!$C$23,0,0)))</f>
        <v>89.932578772912834</v>
      </c>
      <c r="D29" s="3">
        <f t="shared" si="9"/>
        <v>73.184914944210504</v>
      </c>
      <c r="E29" s="3">
        <f>IF(A29="","",(-PPMT(Refinance_Calculator!$C$26/12,'Internal Working'!A29,Refinance_Calculator!$C$29,Refinance_Calculator!$C$23,0,0)))</f>
        <v>16.747663828702322</v>
      </c>
      <c r="F29" s="3">
        <f t="shared" si="10"/>
        <v>14620.235325013402</v>
      </c>
      <c r="G29" s="5">
        <f t="shared" si="11"/>
        <v>16.747663828702322</v>
      </c>
      <c r="H29" s="36">
        <f t="shared" si="12"/>
        <v>73.184914944210504</v>
      </c>
      <c r="I29" s="37">
        <f ca="1">+IF(A29 &lt;= $L$2, (Full_Report!C109-'Internal Working'!C29),"")</f>
        <v>35.533431576106594</v>
      </c>
      <c r="J29" s="37">
        <f t="shared" ca="1" si="6"/>
        <v>852.80235782655848</v>
      </c>
      <c r="K29" s="35" t="str">
        <f t="shared" ca="1" si="7"/>
        <v>0</v>
      </c>
      <c r="L29" s="35">
        <f t="shared" ca="1" si="0"/>
        <v>852.80235782655848</v>
      </c>
      <c r="M29" s="36"/>
      <c r="N29" s="13">
        <v>24</v>
      </c>
      <c r="O29">
        <v>-2256.2183132230211</v>
      </c>
    </row>
    <row r="30" spans="1:16" ht="14.4" x14ac:dyDescent="0.3">
      <c r="A30" s="1">
        <f>IF(OR(A29="",F29=0,A29=Refinance_Calculator!$C$29),"",A29+1)</f>
        <v>25</v>
      </c>
      <c r="B30" s="3">
        <f t="shared" si="8"/>
        <v>14620.235325013402</v>
      </c>
      <c r="C30" s="3">
        <f>IF(A30="","",(-PMT(Refinance_Calculator!$C$26/12,Refinance_Calculator!$C$29,Refinance_Calculator!$C$23,0,0)))</f>
        <v>89.932578772912834</v>
      </c>
      <c r="D30" s="3">
        <f t="shared" si="9"/>
        <v>73.101176625066998</v>
      </c>
      <c r="E30" s="3">
        <f>IF(A30="","",(-PPMT(Refinance_Calculator!$C$26/12,'Internal Working'!A30,Refinance_Calculator!$C$29,Refinance_Calculator!$C$23,0,0)))</f>
        <v>16.831402147845832</v>
      </c>
      <c r="F30" s="3">
        <f t="shared" si="10"/>
        <v>14603.403922865557</v>
      </c>
      <c r="G30" s="5">
        <f t="shared" si="11"/>
        <v>16.831402147845832</v>
      </c>
      <c r="H30" s="36">
        <f t="shared" si="12"/>
        <v>73.101176625066998</v>
      </c>
      <c r="I30" s="37">
        <f ca="1">+IF(A30 &lt;= $L$2, (Full_Report!C110-'Internal Working'!C30),"")</f>
        <v>35.533431576106594</v>
      </c>
      <c r="J30" s="37">
        <f t="shared" ca="1" si="6"/>
        <v>888.33578940266511</v>
      </c>
      <c r="K30" s="35" t="str">
        <f t="shared" ca="1" si="7"/>
        <v>0</v>
      </c>
      <c r="L30" s="35">
        <f t="shared" ca="1" si="0"/>
        <v>888.33578940266511</v>
      </c>
      <c r="M30" s="36"/>
      <c r="N30" s="13">
        <v>25</v>
      </c>
      <c r="O30">
        <v>-2820.2728915287762</v>
      </c>
    </row>
    <row r="31" spans="1:16" ht="14.4" x14ac:dyDescent="0.3">
      <c r="A31" s="1">
        <f>IF(OR(A30="",F30=0,A30=Refinance_Calculator!$C$29),"",A30+1)</f>
        <v>26</v>
      </c>
      <c r="B31" s="3">
        <f t="shared" si="8"/>
        <v>14603.403922865557</v>
      </c>
      <c r="C31" s="3">
        <f>IF(A31="","",(-PMT(Refinance_Calculator!$C$26/12,Refinance_Calculator!$C$29,Refinance_Calculator!$C$23,0,0)))</f>
        <v>89.932578772912834</v>
      </c>
      <c r="D31" s="3">
        <f t="shared" si="9"/>
        <v>73.017019614327779</v>
      </c>
      <c r="E31" s="3">
        <f>IF(A31="","",(-PPMT(Refinance_Calculator!$C$26/12,'Internal Working'!A31,Refinance_Calculator!$C$29,Refinance_Calculator!$C$23,0,0)))</f>
        <v>16.915559158585062</v>
      </c>
      <c r="F31" s="3">
        <f t="shared" si="10"/>
        <v>14586.488363706971</v>
      </c>
      <c r="G31" s="5">
        <f t="shared" si="11"/>
        <v>16.915559158585062</v>
      </c>
      <c r="H31" s="36">
        <f t="shared" si="12"/>
        <v>73.017019614327779</v>
      </c>
      <c r="I31" s="37">
        <f ca="1">+IF(A31 &lt;= $L$2, (Full_Report!C111-'Internal Working'!C31),"")</f>
        <v>35.533431576106594</v>
      </c>
      <c r="J31" s="37">
        <f t="shared" ca="1" si="6"/>
        <v>923.86922097877175</v>
      </c>
      <c r="K31" s="35" t="str">
        <f t="shared" ca="1" si="7"/>
        <v>0</v>
      </c>
      <c r="L31" s="35">
        <f t="shared" ca="1" si="0"/>
        <v>923.86922097877175</v>
      </c>
      <c r="M31" s="36"/>
      <c r="N31" s="13">
        <v>26</v>
      </c>
      <c r="O31">
        <v>-3384.3274698345313</v>
      </c>
    </row>
    <row r="32" spans="1:16" ht="14.4" x14ac:dyDescent="0.3">
      <c r="A32" s="1">
        <f>IF(OR(A31="",F31=0,A31=Refinance_Calculator!$C$29),"",A31+1)</f>
        <v>27</v>
      </c>
      <c r="B32" s="3">
        <f t="shared" si="8"/>
        <v>14586.488363706971</v>
      </c>
      <c r="C32" s="3">
        <f>IF(A32="","",(-PMT(Refinance_Calculator!$C$26/12,Refinance_Calculator!$C$29,Refinance_Calculator!$C$23,0,0)))</f>
        <v>89.932578772912834</v>
      </c>
      <c r="D32" s="3">
        <f t="shared" si="9"/>
        <v>72.932441818534841</v>
      </c>
      <c r="E32" s="3">
        <f>IF(A32="","",(-PPMT(Refinance_Calculator!$C$26/12,'Internal Working'!A32,Refinance_Calculator!$C$29,Refinance_Calculator!$C$23,0,0)))</f>
        <v>17.000136954377986</v>
      </c>
      <c r="F32" s="3">
        <f t="shared" si="10"/>
        <v>14569.488226752592</v>
      </c>
      <c r="G32" s="5">
        <f t="shared" si="11"/>
        <v>17.000136954377986</v>
      </c>
      <c r="H32" s="36">
        <f t="shared" si="12"/>
        <v>72.932441818534841</v>
      </c>
      <c r="I32" s="37">
        <f ca="1">+IF(A32 &lt;= $L$2, (Full_Report!C112-'Internal Working'!C32),"")</f>
        <v>35.533431576106594</v>
      </c>
      <c r="J32" s="37">
        <f t="shared" ca="1" si="6"/>
        <v>959.40265255487839</v>
      </c>
      <c r="K32" s="35" t="str">
        <f t="shared" ca="1" si="7"/>
        <v>0</v>
      </c>
      <c r="L32" s="35">
        <f t="shared" ca="1" si="0"/>
        <v>959.40265255487839</v>
      </c>
      <c r="M32" s="36"/>
      <c r="N32" s="13">
        <v>27</v>
      </c>
      <c r="O32">
        <v>-3948.3820481402863</v>
      </c>
    </row>
    <row r="33" spans="1:15" ht="14.4" x14ac:dyDescent="0.3">
      <c r="A33" s="1">
        <f>IF(OR(A32="",F32=0,A32=Refinance_Calculator!$C$29),"",A32+1)</f>
        <v>28</v>
      </c>
      <c r="B33" s="3">
        <f t="shared" si="8"/>
        <v>14569.488226752592</v>
      </c>
      <c r="C33" s="3">
        <f>IF(A33="","",(-PMT(Refinance_Calculator!$C$26/12,Refinance_Calculator!$C$29,Refinance_Calculator!$C$23,0,0)))</f>
        <v>89.932578772912834</v>
      </c>
      <c r="D33" s="3">
        <f t="shared" si="9"/>
        <v>72.847441133762956</v>
      </c>
      <c r="E33" s="3">
        <f>IF(A33="","",(-PPMT(Refinance_Calculator!$C$26/12,'Internal Working'!A33,Refinance_Calculator!$C$29,Refinance_Calculator!$C$23,0,0)))</f>
        <v>17.085137639149874</v>
      </c>
      <c r="F33" s="3">
        <f t="shared" si="10"/>
        <v>14552.403089113443</v>
      </c>
      <c r="G33" s="5">
        <f t="shared" si="11"/>
        <v>17.085137639149874</v>
      </c>
      <c r="H33" s="36">
        <f t="shared" si="12"/>
        <v>72.847441133762956</v>
      </c>
      <c r="I33" s="37">
        <f ca="1">+IF(A33 &lt;= $L$2, (Full_Report!C113-'Internal Working'!C33),"")</f>
        <v>35.533431576106594</v>
      </c>
      <c r="J33" s="37">
        <f t="shared" ca="1" si="6"/>
        <v>994.93608413098502</v>
      </c>
      <c r="K33" s="35" t="str">
        <f t="shared" ca="1" si="7"/>
        <v>0</v>
      </c>
      <c r="L33" s="35">
        <f t="shared" ca="1" si="0"/>
        <v>994.93608413098502</v>
      </c>
      <c r="M33" s="36"/>
      <c r="N33" s="13">
        <v>28</v>
      </c>
      <c r="O33">
        <v>-4512.4366264460414</v>
      </c>
    </row>
    <row r="34" spans="1:15" ht="14.4" x14ac:dyDescent="0.3">
      <c r="A34" s="1">
        <f>IF(OR(A33="",F33=0,A33=Refinance_Calculator!$C$29),"",A33+1)</f>
        <v>29</v>
      </c>
      <c r="B34" s="3">
        <f t="shared" si="8"/>
        <v>14552.403089113443</v>
      </c>
      <c r="C34" s="3">
        <f>IF(A34="","",(-PMT(Refinance_Calculator!$C$26/12,Refinance_Calculator!$C$29,Refinance_Calculator!$C$23,0,0)))</f>
        <v>89.932578772912834</v>
      </c>
      <c r="D34" s="3">
        <f t="shared" si="9"/>
        <v>72.762015445567215</v>
      </c>
      <c r="E34" s="3">
        <f>IF(A34="","",(-PPMT(Refinance_Calculator!$C$26/12,'Internal Working'!A34,Refinance_Calculator!$C$29,Refinance_Calculator!$C$23,0,0)))</f>
        <v>17.170563327345626</v>
      </c>
      <c r="F34" s="3">
        <f t="shared" si="10"/>
        <v>14535.232525786098</v>
      </c>
      <c r="G34" s="5">
        <f t="shared" si="11"/>
        <v>17.170563327345626</v>
      </c>
      <c r="H34" s="36">
        <f t="shared" si="12"/>
        <v>72.762015445567215</v>
      </c>
      <c r="I34" s="37">
        <f ca="1">+IF(A34 &lt;= $L$2, (Full_Report!C114-'Internal Working'!C34),"")</f>
        <v>35.533431576106594</v>
      </c>
      <c r="J34" s="37">
        <f t="shared" ca="1" si="6"/>
        <v>1030.4695157070917</v>
      </c>
      <c r="K34" s="35" t="str">
        <f t="shared" ca="1" si="7"/>
        <v>0</v>
      </c>
      <c r="L34" s="35">
        <f t="shared" ca="1" si="0"/>
        <v>1030.4695157070917</v>
      </c>
      <c r="M34" s="36"/>
      <c r="N34" s="13">
        <v>29</v>
      </c>
      <c r="O34">
        <v>-5076.4912047517964</v>
      </c>
    </row>
    <row r="35" spans="1:15" ht="14.4" x14ac:dyDescent="0.3">
      <c r="A35" s="1">
        <f>IF(OR(A34="",F34=0,A34=Refinance_Calculator!$C$29),"",A34+1)</f>
        <v>30</v>
      </c>
      <c r="B35" s="3">
        <f t="shared" si="8"/>
        <v>14535.232525786098</v>
      </c>
      <c r="C35" s="3">
        <f>IF(A35="","",(-PMT(Refinance_Calculator!$C$26/12,Refinance_Calculator!$C$29,Refinance_Calculator!$C$23,0,0)))</f>
        <v>89.932578772912834</v>
      </c>
      <c r="D35" s="3">
        <f t="shared" si="9"/>
        <v>72.676162628930484</v>
      </c>
      <c r="E35" s="3">
        <f>IF(A35="","",(-PPMT(Refinance_Calculator!$C$26/12,'Internal Working'!A35,Refinance_Calculator!$C$29,Refinance_Calculator!$C$23,0,0)))</f>
        <v>17.256416143982353</v>
      </c>
      <c r="F35" s="3">
        <f t="shared" si="10"/>
        <v>14517.976109642115</v>
      </c>
      <c r="G35" s="5">
        <f t="shared" si="11"/>
        <v>17.256416143982353</v>
      </c>
      <c r="H35" s="36">
        <f t="shared" si="12"/>
        <v>72.676162628930484</v>
      </c>
      <c r="I35" s="37">
        <f ca="1">+IF(A35 &lt;= $L$2, (Full_Report!C115-'Internal Working'!C35),"")</f>
        <v>35.533431576106594</v>
      </c>
      <c r="J35" s="37">
        <f t="shared" ca="1" si="6"/>
        <v>1066.0029472831982</v>
      </c>
      <c r="K35" s="35" t="str">
        <f t="shared" ca="1" si="7"/>
        <v>0</v>
      </c>
      <c r="L35" s="35">
        <f t="shared" ca="1" si="0"/>
        <v>1066.0029472831982</v>
      </c>
      <c r="M35" s="36"/>
      <c r="N35" s="13">
        <v>30</v>
      </c>
      <c r="O35">
        <v>-5640.5457830575515</v>
      </c>
    </row>
    <row r="36" spans="1:15" ht="14.4" x14ac:dyDescent="0.3">
      <c r="A36" s="1">
        <f>IF(OR(A35="",F35=0,A35=Refinance_Calculator!$C$29),"",A35+1)</f>
        <v>31</v>
      </c>
      <c r="B36" s="3">
        <f t="shared" si="8"/>
        <v>14517.976109642115</v>
      </c>
      <c r="C36" s="3">
        <f>IF(A36="","",(-PMT(Refinance_Calculator!$C$26/12,Refinance_Calculator!$C$29,Refinance_Calculator!$C$23,0,0)))</f>
        <v>89.932578772912834</v>
      </c>
      <c r="D36" s="3">
        <f t="shared" si="9"/>
        <v>72.589880548210573</v>
      </c>
      <c r="E36" s="3">
        <f>IF(A36="","",(-PPMT(Refinance_Calculator!$C$26/12,'Internal Working'!A36,Refinance_Calculator!$C$29,Refinance_Calculator!$C$23,0,0)))</f>
        <v>17.342698224702268</v>
      </c>
      <c r="F36" s="3">
        <f t="shared" si="10"/>
        <v>14500.633411417413</v>
      </c>
      <c r="G36" s="5">
        <f t="shared" si="11"/>
        <v>17.342698224702268</v>
      </c>
      <c r="H36" s="36">
        <f t="shared" si="12"/>
        <v>72.589880548210573</v>
      </c>
      <c r="I36" s="37">
        <f ca="1">+IF(A36 &lt;= $L$2, (Full_Report!C116-'Internal Working'!C36),"")</f>
        <v>35.533431576106594</v>
      </c>
      <c r="J36" s="37">
        <f t="shared" ca="1" si="6"/>
        <v>1101.5363788593047</v>
      </c>
      <c r="K36" s="35" t="str">
        <f t="shared" ca="1" si="7"/>
        <v>0</v>
      </c>
      <c r="L36" s="35">
        <f t="shared" ca="1" si="0"/>
        <v>1101.5363788593047</v>
      </c>
      <c r="M36" s="36"/>
      <c r="N36" s="13">
        <v>31</v>
      </c>
      <c r="O36">
        <v>-6204.6003613633065</v>
      </c>
    </row>
    <row r="37" spans="1:15" ht="14.4" x14ac:dyDescent="0.3">
      <c r="A37" s="1">
        <f>IF(OR(A36="",F36=0,A36=Refinance_Calculator!$C$29),"",A36+1)</f>
        <v>32</v>
      </c>
      <c r="B37" s="3">
        <f t="shared" si="8"/>
        <v>14500.633411417413</v>
      </c>
      <c r="C37" s="3">
        <f>IF(A37="","",(-PMT(Refinance_Calculator!$C$26/12,Refinance_Calculator!$C$29,Refinance_Calculator!$C$23,0,0)))</f>
        <v>89.932578772912834</v>
      </c>
      <c r="D37" s="3">
        <f t="shared" si="9"/>
        <v>72.503167057087055</v>
      </c>
      <c r="E37" s="3">
        <f>IF(A37="","",(-PPMT(Refinance_Calculator!$C$26/12,'Internal Working'!A37,Refinance_Calculator!$C$29,Refinance_Calculator!$C$23,0,0)))</f>
        <v>17.429411715825776</v>
      </c>
      <c r="F37" s="3">
        <f t="shared" si="10"/>
        <v>14483.203999701587</v>
      </c>
      <c r="G37" s="5">
        <f t="shared" si="11"/>
        <v>17.429411715825776</v>
      </c>
      <c r="H37" s="36">
        <f t="shared" si="12"/>
        <v>72.503167057087055</v>
      </c>
      <c r="I37" s="37">
        <f ca="1">+IF(A37 &lt;= $L$2, (Full_Report!C117-'Internal Working'!C37),"")</f>
        <v>35.533431576106594</v>
      </c>
      <c r="J37" s="37">
        <f t="shared" ca="1" si="6"/>
        <v>1137.0698104354112</v>
      </c>
      <c r="K37" s="35" t="str">
        <f t="shared" ca="1" si="7"/>
        <v>0</v>
      </c>
      <c r="L37" s="35">
        <f t="shared" ca="1" si="0"/>
        <v>1137.0698104354112</v>
      </c>
      <c r="M37" s="36"/>
      <c r="N37" s="13">
        <v>32</v>
      </c>
      <c r="O37">
        <v>-6768.6549396690616</v>
      </c>
    </row>
    <row r="38" spans="1:15" ht="14.4" x14ac:dyDescent="0.3">
      <c r="A38" s="1">
        <f>IF(OR(A37="",F37=0,A37=Refinance_Calculator!$C$29),"",A37+1)</f>
        <v>33</v>
      </c>
      <c r="B38" s="3">
        <f t="shared" si="8"/>
        <v>14483.203999701587</v>
      </c>
      <c r="C38" s="3">
        <f>IF(A38="","",(-PMT(Refinance_Calculator!$C$26/12,Refinance_Calculator!$C$29,Refinance_Calculator!$C$23,0,0)))</f>
        <v>89.932578772912834</v>
      </c>
      <c r="D38" s="3">
        <f t="shared" si="9"/>
        <v>72.41601999850792</v>
      </c>
      <c r="E38" s="3">
        <f>IF(A38="","",(-PPMT(Refinance_Calculator!$C$26/12,'Internal Working'!A38,Refinance_Calculator!$C$29,Refinance_Calculator!$C$23,0,0)))</f>
        <v>17.516558774404906</v>
      </c>
      <c r="F38" s="3">
        <f t="shared" si="10"/>
        <v>14465.687440927182</v>
      </c>
      <c r="G38" s="5">
        <f t="shared" si="11"/>
        <v>17.516558774404906</v>
      </c>
      <c r="H38" s="36">
        <f t="shared" si="12"/>
        <v>72.41601999850792</v>
      </c>
      <c r="I38" s="37">
        <f ca="1">+IF(A38 &lt;= $L$2, (Full_Report!C118-'Internal Working'!C38),"")</f>
        <v>35.533431576106594</v>
      </c>
      <c r="J38" s="37">
        <f t="shared" ca="1" si="6"/>
        <v>1172.6032420115178</v>
      </c>
      <c r="K38" s="35" t="str">
        <f t="shared" ca="1" si="7"/>
        <v>0</v>
      </c>
      <c r="L38" s="35">
        <f t="shared" ca="1" si="0"/>
        <v>1172.6032420115178</v>
      </c>
      <c r="M38" s="36"/>
      <c r="N38" s="13">
        <v>33</v>
      </c>
      <c r="O38">
        <v>-7332.7095179748167</v>
      </c>
    </row>
    <row r="39" spans="1:15" ht="14.4" x14ac:dyDescent="0.3">
      <c r="A39" s="1">
        <f>IF(OR(A38="",F38=0,A38=Refinance_Calculator!$C$29),"",A38+1)</f>
        <v>34</v>
      </c>
      <c r="B39" s="3">
        <f t="shared" si="8"/>
        <v>14465.687440927182</v>
      </c>
      <c r="C39" s="3">
        <f>IF(A39="","",(-PMT(Refinance_Calculator!$C$26/12,Refinance_Calculator!$C$29,Refinance_Calculator!$C$23,0,0)))</f>
        <v>89.932578772912834</v>
      </c>
      <c r="D39" s="3">
        <f t="shared" si="9"/>
        <v>72.328437204635904</v>
      </c>
      <c r="E39" s="3">
        <f>IF(A39="","",(-PPMT(Refinance_Calculator!$C$26/12,'Internal Working'!A39,Refinance_Calculator!$C$29,Refinance_Calculator!$C$23,0,0)))</f>
        <v>17.604141568276933</v>
      </c>
      <c r="F39" s="3">
        <f t="shared" si="10"/>
        <v>14448.083299358905</v>
      </c>
      <c r="G39" s="5">
        <f t="shared" si="11"/>
        <v>17.604141568276933</v>
      </c>
      <c r="H39" s="36">
        <f t="shared" si="12"/>
        <v>72.328437204635904</v>
      </c>
      <c r="I39" s="37">
        <f ca="1">+IF(A39 &lt;= $L$2, (Full_Report!C119-'Internal Working'!C39),"")</f>
        <v>35.533431576106594</v>
      </c>
      <c r="J39" s="37">
        <f t="shared" ca="1" si="6"/>
        <v>1208.1366735876243</v>
      </c>
      <c r="K39" s="35" t="str">
        <f t="shared" ca="1" si="7"/>
        <v>0</v>
      </c>
      <c r="L39" s="35">
        <f t="shared" ca="1" si="0"/>
        <v>1208.1366735876243</v>
      </c>
      <c r="M39" s="36"/>
      <c r="N39" s="13">
        <v>34</v>
      </c>
      <c r="O39">
        <v>-7896.7640962805717</v>
      </c>
    </row>
    <row r="40" spans="1:15" ht="14.4" x14ac:dyDescent="0.3">
      <c r="A40" s="1">
        <f>IF(OR(A39="",F39=0,A39=Refinance_Calculator!$C$29),"",A39+1)</f>
        <v>35</v>
      </c>
      <c r="B40" s="3">
        <f t="shared" si="8"/>
        <v>14448.083299358905</v>
      </c>
      <c r="C40" s="3">
        <f>IF(A40="","",(-PMT(Refinance_Calculator!$C$26/12,Refinance_Calculator!$C$29,Refinance_Calculator!$C$23,0,0)))</f>
        <v>89.932578772912834</v>
      </c>
      <c r="D40" s="3">
        <f t="shared" si="9"/>
        <v>72.240416496794523</v>
      </c>
      <c r="E40" s="3">
        <f>IF(A40="","",(-PPMT(Refinance_Calculator!$C$26/12,'Internal Working'!A40,Refinance_Calculator!$C$29,Refinance_Calculator!$C$23,0,0)))</f>
        <v>17.692162276118317</v>
      </c>
      <c r="F40" s="3">
        <f t="shared" si="10"/>
        <v>14430.391137082786</v>
      </c>
      <c r="G40" s="5">
        <f t="shared" si="11"/>
        <v>17.692162276118317</v>
      </c>
      <c r="H40" s="36">
        <f t="shared" si="12"/>
        <v>72.240416496794523</v>
      </c>
      <c r="I40" s="37">
        <f ca="1">+IF(A40 &lt;= $L$2, (Full_Report!C120-'Internal Working'!C40),"")</f>
        <v>35.533431576106594</v>
      </c>
      <c r="J40" s="37">
        <f t="shared" ca="1" si="6"/>
        <v>1243.6701051637308</v>
      </c>
      <c r="K40" s="35" t="str">
        <f t="shared" ca="1" si="7"/>
        <v>0</v>
      </c>
      <c r="L40" s="35">
        <f t="shared" ca="1" si="0"/>
        <v>1243.6701051637308</v>
      </c>
      <c r="M40" s="36"/>
      <c r="N40" s="13">
        <v>35</v>
      </c>
      <c r="O40">
        <v>-8460.8186745863277</v>
      </c>
    </row>
    <row r="41" spans="1:15" ht="14.4" x14ac:dyDescent="0.3">
      <c r="A41" s="1">
        <f>IF(OR(A40="",F40=0,A40=Refinance_Calculator!$C$29),"",A40+1)</f>
        <v>36</v>
      </c>
      <c r="B41" s="3">
        <f t="shared" si="8"/>
        <v>14430.391137082786</v>
      </c>
      <c r="C41" s="3">
        <f>IF(A41="","",(-PMT(Refinance_Calculator!$C$26/12,Refinance_Calculator!$C$29,Refinance_Calculator!$C$23,0,0)))</f>
        <v>89.932578772912834</v>
      </c>
      <c r="D41" s="3">
        <f t="shared" si="9"/>
        <v>72.151955685413924</v>
      </c>
      <c r="E41" s="3">
        <f>IF(A41="","",(-PPMT(Refinance_Calculator!$C$26/12,'Internal Working'!A41,Refinance_Calculator!$C$29,Refinance_Calculator!$C$23,0,0)))</f>
        <v>17.780623087498906</v>
      </c>
      <c r="F41" s="3">
        <f t="shared" si="10"/>
        <v>14412.610513995287</v>
      </c>
      <c r="G41" s="5">
        <f t="shared" si="11"/>
        <v>17.780623087498906</v>
      </c>
      <c r="H41" s="36">
        <f t="shared" si="12"/>
        <v>72.151955685413924</v>
      </c>
      <c r="I41" s="37">
        <f ca="1">+IF(A41 &lt;= $L$2, (Full_Report!C121-'Internal Working'!C41),"")</f>
        <v>35.533431576106594</v>
      </c>
      <c r="J41" s="37">
        <f t="shared" ca="1" si="6"/>
        <v>1279.2035367398373</v>
      </c>
      <c r="K41" s="35" t="str">
        <f t="shared" ca="1" si="7"/>
        <v>0</v>
      </c>
      <c r="L41" s="35">
        <f t="shared" ca="1" si="0"/>
        <v>1279.2035367398373</v>
      </c>
      <c r="M41" s="36"/>
      <c r="N41" s="13">
        <v>36</v>
      </c>
      <c r="O41">
        <v>-9024.8732528920827</v>
      </c>
    </row>
    <row r="42" spans="1:15" ht="14.4" x14ac:dyDescent="0.3">
      <c r="A42" s="1">
        <f>IF(OR(A41="",F41=0,A41=Refinance_Calculator!$C$29),"",A41+1)</f>
        <v>37</v>
      </c>
      <c r="B42" s="3">
        <f t="shared" si="8"/>
        <v>14412.610513995287</v>
      </c>
      <c r="C42" s="3">
        <f>IF(A42="","",(-PMT(Refinance_Calculator!$C$26/12,Refinance_Calculator!$C$29,Refinance_Calculator!$C$23,0,0)))</f>
        <v>89.932578772912834</v>
      </c>
      <c r="D42" s="3">
        <f t="shared" si="9"/>
        <v>72.063052569976435</v>
      </c>
      <c r="E42" s="3">
        <f>IF(A42="","",(-PPMT(Refinance_Calculator!$C$26/12,'Internal Working'!A42,Refinance_Calculator!$C$29,Refinance_Calculator!$C$23,0,0)))</f>
        <v>17.869526202936402</v>
      </c>
      <c r="F42" s="3">
        <f t="shared" si="10"/>
        <v>14394.740987792351</v>
      </c>
      <c r="G42" s="5">
        <f t="shared" si="11"/>
        <v>17.869526202936402</v>
      </c>
      <c r="H42" s="36">
        <f t="shared" si="12"/>
        <v>72.063052569976435</v>
      </c>
      <c r="I42" s="37">
        <f ca="1">+IF(A42 &lt;= $L$2, (Full_Report!C122-'Internal Working'!C42),"")</f>
        <v>35.533431576106594</v>
      </c>
      <c r="J42" s="37">
        <f t="shared" ca="1" si="6"/>
        <v>1314.7369683159438</v>
      </c>
      <c r="K42" s="35" t="str">
        <f t="shared" ca="1" si="7"/>
        <v>0</v>
      </c>
      <c r="L42" s="35">
        <f t="shared" ca="1" si="0"/>
        <v>1314.7369683159438</v>
      </c>
      <c r="M42" s="2"/>
      <c r="N42" s="13"/>
      <c r="O42">
        <v>0</v>
      </c>
    </row>
    <row r="43" spans="1:15" ht="14.4" x14ac:dyDescent="0.3">
      <c r="A43" s="1">
        <f>IF(OR(A42="",F42=0,A42=Refinance_Calculator!$C$29),"",A42+1)</f>
        <v>38</v>
      </c>
      <c r="B43" s="3">
        <f t="shared" si="8"/>
        <v>14394.740987792351</v>
      </c>
      <c r="C43" s="3">
        <f>IF(A43="","",(-PMT(Refinance_Calculator!$C$26/12,Refinance_Calculator!$C$29,Refinance_Calculator!$C$23,0,0)))</f>
        <v>89.932578772912834</v>
      </c>
      <c r="D43" s="3">
        <f t="shared" si="9"/>
        <v>71.97370493896176</v>
      </c>
      <c r="E43" s="3">
        <f>IF(A43="","",(-PPMT(Refinance_Calculator!$C$26/12,'Internal Working'!A43,Refinance_Calculator!$C$29,Refinance_Calculator!$C$23,0,0)))</f>
        <v>17.958873833951081</v>
      </c>
      <c r="F43" s="3">
        <f t="shared" si="10"/>
        <v>14376.782113958399</v>
      </c>
      <c r="G43" s="5">
        <f t="shared" si="11"/>
        <v>17.958873833951081</v>
      </c>
      <c r="H43" s="36">
        <f t="shared" si="12"/>
        <v>71.97370493896176</v>
      </c>
      <c r="I43" s="37">
        <f ca="1">+IF(A43 &lt;= $L$2, (Full_Report!C123-'Internal Working'!C43),"")</f>
        <v>35.533431576106594</v>
      </c>
      <c r="J43" s="37">
        <f t="shared" ca="1" si="6"/>
        <v>1350.2703998920504</v>
      </c>
      <c r="K43" s="35" t="str">
        <f t="shared" ca="1" si="7"/>
        <v>0</v>
      </c>
      <c r="L43" s="35">
        <f t="shared" ca="1" si="0"/>
        <v>1350.2703998920504</v>
      </c>
      <c r="M43" s="2"/>
      <c r="N43"/>
      <c r="O43"/>
    </row>
    <row r="44" spans="1:15" ht="14.4" x14ac:dyDescent="0.3">
      <c r="A44" s="1">
        <f>IF(OR(A43="",F43=0,A43=Refinance_Calculator!$C$29),"",A43+1)</f>
        <v>39</v>
      </c>
      <c r="B44" s="3">
        <f t="shared" si="8"/>
        <v>14376.782113958399</v>
      </c>
      <c r="C44" s="3">
        <f>IF(A44="","",(-PMT(Refinance_Calculator!$C$26/12,Refinance_Calculator!$C$29,Refinance_Calculator!$C$23,0,0)))</f>
        <v>89.932578772912834</v>
      </c>
      <c r="D44" s="3">
        <f t="shared" si="9"/>
        <v>71.883910569791993</v>
      </c>
      <c r="E44" s="3">
        <f>IF(A44="","",(-PPMT(Refinance_Calculator!$C$26/12,'Internal Working'!A44,Refinance_Calculator!$C$29,Refinance_Calculator!$C$23,0,0)))</f>
        <v>18.04866820312084</v>
      </c>
      <c r="F44" s="3">
        <f t="shared" si="10"/>
        <v>14358.733445755279</v>
      </c>
      <c r="G44" s="5">
        <f t="shared" si="11"/>
        <v>18.04866820312084</v>
      </c>
      <c r="H44" s="36">
        <f t="shared" si="12"/>
        <v>71.883910569791993</v>
      </c>
      <c r="I44" s="37">
        <f ca="1">+IF(A44 &lt;= $L$2, (Full_Report!C124-'Internal Working'!C44),"")</f>
        <v>35.533431576106594</v>
      </c>
      <c r="J44" s="37">
        <f t="shared" ca="1" si="6"/>
        <v>1385.8038314681569</v>
      </c>
      <c r="K44" s="35" t="str">
        <f t="shared" ca="1" si="7"/>
        <v>0</v>
      </c>
      <c r="L44" s="35">
        <f t="shared" ca="1" si="0"/>
        <v>1385.8038314681569</v>
      </c>
      <c r="M44" s="2"/>
      <c r="N44"/>
    </row>
    <row r="45" spans="1:15" ht="14.4" x14ac:dyDescent="0.3">
      <c r="A45" s="1">
        <f>IF(OR(A44="",F44=0,A44=Refinance_Calculator!$C$29),"",A44+1)</f>
        <v>40</v>
      </c>
      <c r="B45" s="3">
        <f t="shared" si="8"/>
        <v>14358.733445755279</v>
      </c>
      <c r="C45" s="3">
        <f>IF(A45="","",(-PMT(Refinance_Calculator!$C$26/12,Refinance_Calculator!$C$29,Refinance_Calculator!$C$23,0,0)))</f>
        <v>89.932578772912834</v>
      </c>
      <c r="D45" s="3">
        <f t="shared" si="9"/>
        <v>71.793667228776386</v>
      </c>
      <c r="E45" s="3">
        <f>IF(A45="","",(-PPMT(Refinance_Calculator!$C$26/12,'Internal Working'!A45,Refinance_Calculator!$C$29,Refinance_Calculator!$C$23,0,0)))</f>
        <v>18.138911544136445</v>
      </c>
      <c r="F45" s="3">
        <f t="shared" si="10"/>
        <v>14340.594534211143</v>
      </c>
      <c r="G45" s="5">
        <f t="shared" si="11"/>
        <v>18.138911544136445</v>
      </c>
      <c r="H45" s="36">
        <f t="shared" si="12"/>
        <v>71.793667228776386</v>
      </c>
      <c r="I45" s="37">
        <f ca="1">+IF(A45 &lt;= $L$2, (Full_Report!C125-'Internal Working'!C45),"")</f>
        <v>35.533431576106594</v>
      </c>
      <c r="J45" s="37">
        <f t="shared" ca="1" si="6"/>
        <v>1421.3372630442634</v>
      </c>
      <c r="K45" s="35" t="str">
        <f t="shared" ca="1" si="7"/>
        <v>0</v>
      </c>
      <c r="L45" s="35">
        <f t="shared" ca="1" si="0"/>
        <v>1421.3372630442634</v>
      </c>
      <c r="M45" s="2"/>
      <c r="N45"/>
    </row>
    <row r="46" spans="1:15" ht="14.4" x14ac:dyDescent="0.3">
      <c r="A46" s="1">
        <f>IF(OR(A45="",F45=0,A45=Refinance_Calculator!$C$29),"",A45+1)</f>
        <v>41</v>
      </c>
      <c r="B46" s="3">
        <f t="shared" si="8"/>
        <v>14340.594534211143</v>
      </c>
      <c r="C46" s="3">
        <f>IF(A46="","",(-PMT(Refinance_Calculator!$C$26/12,Refinance_Calculator!$C$29,Refinance_Calculator!$C$23,0,0)))</f>
        <v>89.932578772912834</v>
      </c>
      <c r="D46" s="3">
        <f t="shared" si="9"/>
        <v>71.702972671055704</v>
      </c>
      <c r="E46" s="3">
        <f>IF(A46="","",(-PPMT(Refinance_Calculator!$C$26/12,'Internal Working'!A46,Refinance_Calculator!$C$29,Refinance_Calculator!$C$23,0,0)))</f>
        <v>18.229606101857126</v>
      </c>
      <c r="F46" s="3">
        <f t="shared" si="10"/>
        <v>14322.364928109286</v>
      </c>
      <c r="G46" s="5">
        <f t="shared" si="11"/>
        <v>18.229606101857126</v>
      </c>
      <c r="H46" s="36">
        <f t="shared" si="12"/>
        <v>71.702972671055704</v>
      </c>
      <c r="I46" s="37">
        <f ca="1">+IF(A46 &lt;= $L$2, (Full_Report!C126-'Internal Working'!C46),"")</f>
        <v>35.533431576106594</v>
      </c>
      <c r="J46" s="37">
        <f t="shared" ca="1" si="6"/>
        <v>1456.8706946203699</v>
      </c>
      <c r="K46" s="35" t="str">
        <f t="shared" ca="1" si="7"/>
        <v>0</v>
      </c>
      <c r="L46" s="35">
        <f t="shared" ca="1" si="0"/>
        <v>1456.8706946203699</v>
      </c>
      <c r="M46" s="2"/>
      <c r="N46"/>
    </row>
    <row r="47" spans="1:15" ht="14.4" x14ac:dyDescent="0.3">
      <c r="A47" s="1">
        <f>IF(OR(A46="",F46=0,A46=Refinance_Calculator!$C$29),"",A46+1)</f>
        <v>42</v>
      </c>
      <c r="B47" s="3">
        <f t="shared" si="8"/>
        <v>14322.364928109286</v>
      </c>
      <c r="C47" s="3">
        <f>IF(A47="","",(-PMT(Refinance_Calculator!$C$26/12,Refinance_Calculator!$C$29,Refinance_Calculator!$C$23,0,0)))</f>
        <v>89.932578772912834</v>
      </c>
      <c r="D47" s="3">
        <f t="shared" si="9"/>
        <v>71.611824640546416</v>
      </c>
      <c r="E47" s="3">
        <f>IF(A47="","",(-PPMT(Refinance_Calculator!$C$26/12,'Internal Working'!A47,Refinance_Calculator!$C$29,Refinance_Calculator!$C$23,0,0)))</f>
        <v>18.32075413236641</v>
      </c>
      <c r="F47" s="3">
        <f t="shared" si="10"/>
        <v>14304.044173976919</v>
      </c>
      <c r="G47" s="5">
        <f t="shared" si="11"/>
        <v>18.32075413236641</v>
      </c>
      <c r="H47" s="36">
        <f t="shared" si="12"/>
        <v>71.611824640546416</v>
      </c>
      <c r="I47" s="37">
        <f ca="1">+IF(A47 &lt;= $L$2, (Full_Report!C127-'Internal Working'!C47),"")</f>
        <v>35.533431576106594</v>
      </c>
      <c r="J47" s="37">
        <f t="shared" ca="1" si="6"/>
        <v>1492.4041261964765</v>
      </c>
      <c r="K47" s="35" t="str">
        <f t="shared" ca="1" si="7"/>
        <v>0</v>
      </c>
      <c r="L47" s="35">
        <f t="shared" ca="1" si="0"/>
        <v>1492.4041261964765</v>
      </c>
      <c r="M47" s="2"/>
      <c r="N47"/>
    </row>
    <row r="48" spans="1:15" ht="14.4" x14ac:dyDescent="0.3">
      <c r="A48" s="1">
        <f>IF(OR(A47="",F47=0,A47=Refinance_Calculator!$C$29),"",A47+1)</f>
        <v>43</v>
      </c>
      <c r="B48" s="3">
        <f t="shared" si="8"/>
        <v>14304.044173976919</v>
      </c>
      <c r="C48" s="3">
        <f>IF(A48="","",(-PMT(Refinance_Calculator!$C$26/12,Refinance_Calculator!$C$29,Refinance_Calculator!$C$23,0,0)))</f>
        <v>89.932578772912834</v>
      </c>
      <c r="D48" s="3">
        <f t="shared" si="9"/>
        <v>71.520220869884582</v>
      </c>
      <c r="E48" s="3">
        <f>IF(A48="","",(-PPMT(Refinance_Calculator!$C$26/12,'Internal Working'!A48,Refinance_Calculator!$C$29,Refinance_Calculator!$C$23,0,0)))</f>
        <v>18.412357903028244</v>
      </c>
      <c r="F48" s="3">
        <f t="shared" si="10"/>
        <v>14285.631816073892</v>
      </c>
      <c r="G48" s="5">
        <f t="shared" si="11"/>
        <v>18.412357903028244</v>
      </c>
      <c r="H48" s="36">
        <f t="shared" si="12"/>
        <v>71.520220869884582</v>
      </c>
      <c r="I48" s="37">
        <f ca="1">+IF(A48 &lt;= $L$2, (Full_Report!C128-'Internal Working'!C48),"")</f>
        <v>35.533431576106594</v>
      </c>
      <c r="J48" s="37">
        <f t="shared" ca="1" si="6"/>
        <v>1527.937557772583</v>
      </c>
      <c r="K48" s="35" t="str">
        <f t="shared" ca="1" si="7"/>
        <v>0</v>
      </c>
      <c r="L48" s="35">
        <f t="shared" ca="1" si="0"/>
        <v>1527.937557772583</v>
      </c>
      <c r="M48" s="2"/>
      <c r="N48"/>
    </row>
    <row r="49" spans="1:14" ht="14.4" x14ac:dyDescent="0.3">
      <c r="A49" s="1">
        <f>IF(OR(A48="",F48=0,A48=Refinance_Calculator!$C$29),"",A48+1)</f>
        <v>44</v>
      </c>
      <c r="B49" s="3">
        <f t="shared" si="8"/>
        <v>14285.631816073892</v>
      </c>
      <c r="C49" s="3">
        <f>IF(A49="","",(-PMT(Refinance_Calculator!$C$26/12,Refinance_Calculator!$C$29,Refinance_Calculator!$C$23,0,0)))</f>
        <v>89.932578772912834</v>
      </c>
      <c r="D49" s="3">
        <f t="shared" si="9"/>
        <v>71.428159080369454</v>
      </c>
      <c r="E49" s="3">
        <f>IF(A49="","",(-PPMT(Refinance_Calculator!$C$26/12,'Internal Working'!A49,Refinance_Calculator!$C$29,Refinance_Calculator!$C$23,0,0)))</f>
        <v>18.504419692543387</v>
      </c>
      <c r="F49" s="3">
        <f t="shared" si="10"/>
        <v>14267.127396381349</v>
      </c>
      <c r="G49" s="5">
        <f t="shared" si="11"/>
        <v>18.504419692543387</v>
      </c>
      <c r="H49" s="36">
        <f t="shared" si="12"/>
        <v>71.428159080369454</v>
      </c>
      <c r="I49" s="37">
        <f ca="1">+IF(A49 &lt;= $L$2, (Full_Report!C129-'Internal Working'!C49),"")</f>
        <v>35.533431576106594</v>
      </c>
      <c r="J49" s="37">
        <f t="shared" ca="1" si="6"/>
        <v>1563.4709893486895</v>
      </c>
      <c r="K49" s="35" t="str">
        <f t="shared" ca="1" si="7"/>
        <v>0</v>
      </c>
      <c r="L49" s="35">
        <f t="shared" ca="1" si="0"/>
        <v>1563.4709893486895</v>
      </c>
      <c r="M49" s="2"/>
      <c r="N49"/>
    </row>
    <row r="50" spans="1:14" ht="14.4" x14ac:dyDescent="0.3">
      <c r="A50" s="1">
        <f>IF(OR(A49="",F49=0,A49=Refinance_Calculator!$C$29),"",A49+1)</f>
        <v>45</v>
      </c>
      <c r="B50" s="3">
        <f t="shared" si="8"/>
        <v>14267.127396381349</v>
      </c>
      <c r="C50" s="3">
        <f>IF(A50="","",(-PMT(Refinance_Calculator!$C$26/12,Refinance_Calculator!$C$29,Refinance_Calculator!$C$23,0,0)))</f>
        <v>89.932578772912834</v>
      </c>
      <c r="D50" s="3">
        <f t="shared" si="9"/>
        <v>71.335636981906731</v>
      </c>
      <c r="E50" s="3">
        <f>IF(A50="","",(-PPMT(Refinance_Calculator!$C$26/12,'Internal Working'!A50,Refinance_Calculator!$C$29,Refinance_Calculator!$C$23,0,0)))</f>
        <v>18.596941791006106</v>
      </c>
      <c r="F50" s="3">
        <f t="shared" si="10"/>
        <v>14248.530454590344</v>
      </c>
      <c r="G50" s="5">
        <f t="shared" si="11"/>
        <v>18.596941791006106</v>
      </c>
      <c r="H50" s="36">
        <f t="shared" si="12"/>
        <v>71.335636981906731</v>
      </c>
      <c r="I50" s="37">
        <f ca="1">+IF(A50 &lt;= $L$2, (Full_Report!C130-'Internal Working'!C50),"")</f>
        <v>35.533431576106594</v>
      </c>
      <c r="J50" s="37">
        <f t="shared" ca="1" si="6"/>
        <v>1599.004420924796</v>
      </c>
      <c r="K50" s="35" t="str">
        <f t="shared" ca="1" si="7"/>
        <v>0</v>
      </c>
      <c r="L50" s="35">
        <f t="shared" ca="1" si="0"/>
        <v>1599.004420924796</v>
      </c>
      <c r="M50" s="2"/>
      <c r="N50"/>
    </row>
    <row r="51" spans="1:14" ht="14.4" x14ac:dyDescent="0.3">
      <c r="A51" s="1">
        <f>IF(OR(A50="",F50=0,A50=Refinance_Calculator!$C$29),"",A50+1)</f>
        <v>46</v>
      </c>
      <c r="B51" s="3">
        <f t="shared" si="8"/>
        <v>14248.530454590344</v>
      </c>
      <c r="C51" s="3">
        <f>IF(A51="","",(-PMT(Refinance_Calculator!$C$26/12,Refinance_Calculator!$C$29,Refinance_Calculator!$C$23,0,0)))</f>
        <v>89.932578772912834</v>
      </c>
      <c r="D51" s="3">
        <f t="shared" si="9"/>
        <v>71.242652272951702</v>
      </c>
      <c r="E51" s="3">
        <f>IF(A51="","",(-PPMT(Refinance_Calculator!$C$26/12,'Internal Working'!A51,Refinance_Calculator!$C$29,Refinance_Calculator!$C$23,0,0)))</f>
        <v>18.689926499961132</v>
      </c>
      <c r="F51" s="3">
        <f t="shared" si="10"/>
        <v>14229.840528090383</v>
      </c>
      <c r="G51" s="5">
        <f t="shared" si="11"/>
        <v>18.689926499961132</v>
      </c>
      <c r="H51" s="36">
        <f t="shared" si="12"/>
        <v>71.242652272951702</v>
      </c>
      <c r="I51" s="37">
        <f ca="1">+IF(A51 &lt;= $L$2, (Full_Report!C131-'Internal Working'!C51),"")</f>
        <v>35.533431576106594</v>
      </c>
      <c r="J51" s="37">
        <f t="shared" ca="1" si="6"/>
        <v>1634.5378525009025</v>
      </c>
      <c r="K51" s="35" t="str">
        <f t="shared" ca="1" si="7"/>
        <v>0</v>
      </c>
      <c r="L51" s="35">
        <f t="shared" ca="1" si="0"/>
        <v>1634.5378525009025</v>
      </c>
      <c r="M51" s="2"/>
      <c r="N51"/>
    </row>
    <row r="52" spans="1:14" ht="14.4" x14ac:dyDescent="0.3">
      <c r="A52" s="1">
        <f>IF(OR(A51="",F51=0,A51=Refinance_Calculator!$C$29),"",A51+1)</f>
        <v>47</v>
      </c>
      <c r="B52" s="3">
        <f t="shared" si="8"/>
        <v>14229.840528090383</v>
      </c>
      <c r="C52" s="3">
        <f>IF(A52="","",(-PMT(Refinance_Calculator!$C$26/12,Refinance_Calculator!$C$29,Refinance_Calculator!$C$23,0,0)))</f>
        <v>89.932578772912834</v>
      </c>
      <c r="D52" s="3">
        <f t="shared" si="9"/>
        <v>71.149202640451904</v>
      </c>
      <c r="E52" s="3">
        <f>IF(A52="","",(-PPMT(Refinance_Calculator!$C$26/12,'Internal Working'!A52,Refinance_Calculator!$C$29,Refinance_Calculator!$C$23,0,0)))</f>
        <v>18.783376132460937</v>
      </c>
      <c r="F52" s="3">
        <f t="shared" si="10"/>
        <v>14211.057151957923</v>
      </c>
      <c r="G52" s="5">
        <f t="shared" si="11"/>
        <v>18.783376132460937</v>
      </c>
      <c r="H52" s="36">
        <f t="shared" si="12"/>
        <v>71.149202640451904</v>
      </c>
      <c r="I52" s="37">
        <f ca="1">+IF(A52 &lt;= $L$2, (Full_Report!C132-'Internal Working'!C52),"")</f>
        <v>35.533431576106594</v>
      </c>
      <c r="J52" s="37">
        <f t="shared" ca="1" si="6"/>
        <v>1670.0712840770091</v>
      </c>
      <c r="K52" s="35" t="str">
        <f t="shared" ca="1" si="7"/>
        <v>0</v>
      </c>
      <c r="L52" s="35">
        <f t="shared" ca="1" si="0"/>
        <v>1670.0712840770091</v>
      </c>
      <c r="M52" s="2"/>
      <c r="N52"/>
    </row>
    <row r="53" spans="1:14" ht="14.4" x14ac:dyDescent="0.3">
      <c r="A53" s="1">
        <f>IF(OR(A52="",F52=0,A52=Refinance_Calculator!$C$29),"",A52+1)</f>
        <v>48</v>
      </c>
      <c r="B53" s="3">
        <f t="shared" si="8"/>
        <v>14211.057151957923</v>
      </c>
      <c r="C53" s="3">
        <f>IF(A53="","",(-PMT(Refinance_Calculator!$C$26/12,Refinance_Calculator!$C$29,Refinance_Calculator!$C$23,0,0)))</f>
        <v>89.932578772912834</v>
      </c>
      <c r="D53" s="3">
        <f t="shared" si="9"/>
        <v>71.055285759789584</v>
      </c>
      <c r="E53" s="3">
        <f>IF(A53="","",(-PPMT(Refinance_Calculator!$C$26/12,'Internal Working'!A53,Refinance_Calculator!$C$29,Refinance_Calculator!$C$23,0,0)))</f>
        <v>18.877293013123246</v>
      </c>
      <c r="F53" s="3">
        <f t="shared" si="10"/>
        <v>14192.179858944799</v>
      </c>
      <c r="G53" s="5">
        <f t="shared" si="11"/>
        <v>18.877293013123246</v>
      </c>
      <c r="H53" s="36">
        <f t="shared" si="12"/>
        <v>71.055285759789584</v>
      </c>
      <c r="I53" s="37">
        <f ca="1">+IF(A53 &lt;= $L$2, (Full_Report!C133-'Internal Working'!C53),"")</f>
        <v>35.533431576106594</v>
      </c>
      <c r="J53" s="37">
        <f t="shared" ca="1" si="6"/>
        <v>1705.6047156531156</v>
      </c>
      <c r="K53" s="35" t="str">
        <f t="shared" ca="1" si="7"/>
        <v>0</v>
      </c>
      <c r="L53" s="35">
        <f t="shared" ca="1" si="0"/>
        <v>1705.6047156531156</v>
      </c>
      <c r="M53" s="2"/>
      <c r="N53"/>
    </row>
    <row r="54" spans="1:14" ht="14.4" x14ac:dyDescent="0.3">
      <c r="A54" s="1">
        <f>IF(OR(A53="",F53=0,A53=Refinance_Calculator!$C$29),"",A53+1)</f>
        <v>49</v>
      </c>
      <c r="B54" s="3">
        <f t="shared" si="8"/>
        <v>14192.179858944799</v>
      </c>
      <c r="C54" s="3">
        <f>IF(A54="","",(-PMT(Refinance_Calculator!$C$26/12,Refinance_Calculator!$C$29,Refinance_Calculator!$C$23,0,0)))</f>
        <v>89.932578772912834</v>
      </c>
      <c r="D54" s="3">
        <f t="shared" si="9"/>
        <v>70.960899294723973</v>
      </c>
      <c r="E54" s="3">
        <f>IF(A54="","",(-PPMT(Refinance_Calculator!$C$26/12,'Internal Working'!A54,Refinance_Calculator!$C$29,Refinance_Calculator!$C$23,0,0)))</f>
        <v>18.971679478188857</v>
      </c>
      <c r="F54" s="3">
        <f t="shared" si="10"/>
        <v>14173.20817946661</v>
      </c>
      <c r="G54" s="5">
        <f t="shared" si="11"/>
        <v>18.971679478188857</v>
      </c>
      <c r="H54" s="36">
        <f t="shared" si="12"/>
        <v>70.960899294723973</v>
      </c>
      <c r="I54" s="37">
        <f ca="1">+IF(A54 &lt;= $L$2, (Full_Report!C134-'Internal Working'!C54),"")</f>
        <v>35.533431576106594</v>
      </c>
      <c r="J54" s="37">
        <f t="shared" ca="1" si="6"/>
        <v>1741.1381472292221</v>
      </c>
      <c r="K54" s="35" t="str">
        <f t="shared" ca="1" si="7"/>
        <v>0</v>
      </c>
      <c r="L54" s="35">
        <f t="shared" ca="1" si="0"/>
        <v>1741.1381472292221</v>
      </c>
      <c r="M54" s="2"/>
      <c r="N54"/>
    </row>
    <row r="55" spans="1:14" ht="14.4" x14ac:dyDescent="0.3">
      <c r="A55" s="1">
        <f>IF(OR(A54="",F54=0,A54=Refinance_Calculator!$C$29),"",A54+1)</f>
        <v>50</v>
      </c>
      <c r="B55" s="3">
        <f t="shared" si="8"/>
        <v>14173.20817946661</v>
      </c>
      <c r="C55" s="3">
        <f>IF(A55="","",(-PMT(Refinance_Calculator!$C$26/12,Refinance_Calculator!$C$29,Refinance_Calculator!$C$23,0,0)))</f>
        <v>89.932578772912834</v>
      </c>
      <c r="D55" s="3">
        <f t="shared" si="9"/>
        <v>70.866040897333022</v>
      </c>
      <c r="E55" s="3">
        <f>IF(A55="","",(-PPMT(Refinance_Calculator!$C$26/12,'Internal Working'!A55,Refinance_Calculator!$C$29,Refinance_Calculator!$C$23,0,0)))</f>
        <v>19.066537875579805</v>
      </c>
      <c r="F55" s="3">
        <f t="shared" si="10"/>
        <v>14154.14164159103</v>
      </c>
      <c r="G55" s="5">
        <f t="shared" si="11"/>
        <v>19.066537875579805</v>
      </c>
      <c r="H55" s="36">
        <f t="shared" si="12"/>
        <v>70.866040897333022</v>
      </c>
      <c r="I55" s="37">
        <f ca="1">+IF(A55 &lt;= $L$2, (Full_Report!C135-'Internal Working'!C55),"")</f>
        <v>35.533431576106594</v>
      </c>
      <c r="J55" s="37">
        <f t="shared" ca="1" si="6"/>
        <v>1776.6715788053286</v>
      </c>
      <c r="K55" s="35" t="str">
        <f t="shared" ca="1" si="7"/>
        <v>0</v>
      </c>
      <c r="L55" s="35">
        <f t="shared" ca="1" si="0"/>
        <v>1776.6715788053286</v>
      </c>
      <c r="M55" s="2"/>
      <c r="N55"/>
    </row>
    <row r="56" spans="1:14" ht="14.4" x14ac:dyDescent="0.3">
      <c r="A56" s="1">
        <f>IF(OR(A55="",F55=0,A55=Refinance_Calculator!$C$29),"",A55+1)</f>
        <v>51</v>
      </c>
      <c r="B56" s="3">
        <f t="shared" si="8"/>
        <v>14154.14164159103</v>
      </c>
      <c r="C56" s="3">
        <f>IF(A56="","",(-PMT(Refinance_Calculator!$C$26/12,Refinance_Calculator!$C$29,Refinance_Calculator!$C$23,0,0)))</f>
        <v>89.932578772912834</v>
      </c>
      <c r="D56" s="3">
        <f t="shared" si="9"/>
        <v>70.770708207955124</v>
      </c>
      <c r="E56" s="3">
        <f>IF(A56="","",(-PPMT(Refinance_Calculator!$C$26/12,'Internal Working'!A56,Refinance_Calculator!$C$29,Refinance_Calculator!$C$23,0,0)))</f>
        <v>19.161870564957702</v>
      </c>
      <c r="F56" s="3">
        <f t="shared" si="10"/>
        <v>14134.979771026072</v>
      </c>
      <c r="G56" s="5">
        <f t="shared" si="11"/>
        <v>19.161870564957702</v>
      </c>
      <c r="H56" s="36">
        <f t="shared" si="12"/>
        <v>70.770708207955124</v>
      </c>
      <c r="I56" s="37">
        <f ca="1">+IF(A56 &lt;= $L$2, (Full_Report!C136-'Internal Working'!C56),"")</f>
        <v>35.533431576106594</v>
      </c>
      <c r="J56" s="37">
        <f t="shared" ca="1" si="6"/>
        <v>1812.2050103814352</v>
      </c>
      <c r="K56" s="35" t="str">
        <f t="shared" ca="1" si="7"/>
        <v>0</v>
      </c>
      <c r="L56" s="35">
        <f t="shared" ca="1" si="0"/>
        <v>1812.2050103814352</v>
      </c>
      <c r="M56" s="2"/>
      <c r="N56"/>
    </row>
    <row r="57" spans="1:14" ht="14.4" x14ac:dyDescent="0.3">
      <c r="A57" s="1">
        <f>IF(OR(A56="",F56=0,A56=Refinance_Calculator!$C$29),"",A56+1)</f>
        <v>52</v>
      </c>
      <c r="B57" s="3">
        <f t="shared" si="8"/>
        <v>14134.979771026072</v>
      </c>
      <c r="C57" s="3">
        <f>IF(A57="","",(-PMT(Refinance_Calculator!$C$26/12,Refinance_Calculator!$C$29,Refinance_Calculator!$C$23,0,0)))</f>
        <v>89.932578772912834</v>
      </c>
      <c r="D57" s="3">
        <f t="shared" si="9"/>
        <v>70.674898855130337</v>
      </c>
      <c r="E57" s="3">
        <f>IF(A57="","",(-PPMT(Refinance_Calculator!$C$26/12,'Internal Working'!A57,Refinance_Calculator!$C$29,Refinance_Calculator!$C$23,0,0)))</f>
        <v>19.257679917782493</v>
      </c>
      <c r="F57" s="3">
        <f t="shared" si="10"/>
        <v>14115.72209110829</v>
      </c>
      <c r="G57" s="5">
        <f t="shared" si="11"/>
        <v>19.257679917782493</v>
      </c>
      <c r="H57" s="36">
        <f t="shared" si="12"/>
        <v>70.674898855130337</v>
      </c>
      <c r="I57" s="37">
        <f ca="1">+IF(A57 &lt;= $L$2, (Full_Report!C137-'Internal Working'!C57),"")</f>
        <v>35.533431576106594</v>
      </c>
      <c r="J57" s="37">
        <f t="shared" ca="1" si="6"/>
        <v>1847.7384419575417</v>
      </c>
      <c r="K57" s="35" t="str">
        <f t="shared" ca="1" si="7"/>
        <v>0</v>
      </c>
      <c r="L57" s="35">
        <f t="shared" ca="1" si="0"/>
        <v>1847.7384419575417</v>
      </c>
      <c r="M57" s="2"/>
      <c r="N57"/>
    </row>
    <row r="58" spans="1:14" ht="14.4" x14ac:dyDescent="0.3">
      <c r="A58" s="1">
        <f>IF(OR(A57="",F57=0,A57=Refinance_Calculator!$C$29),"",A57+1)</f>
        <v>53</v>
      </c>
      <c r="B58" s="3">
        <f t="shared" si="8"/>
        <v>14115.72209110829</v>
      </c>
      <c r="C58" s="3">
        <f>IF(A58="","",(-PMT(Refinance_Calculator!$C$26/12,Refinance_Calculator!$C$29,Refinance_Calculator!$C$23,0,0)))</f>
        <v>89.932578772912834</v>
      </c>
      <c r="D58" s="3">
        <f t="shared" si="9"/>
        <v>70.578610455541437</v>
      </c>
      <c r="E58" s="3">
        <f>IF(A58="","",(-PPMT(Refinance_Calculator!$C$26/12,'Internal Working'!A58,Refinance_Calculator!$C$29,Refinance_Calculator!$C$23,0,0)))</f>
        <v>19.3539683173714</v>
      </c>
      <c r="F58" s="3">
        <f t="shared" si="10"/>
        <v>14096.368122790918</v>
      </c>
      <c r="G58" s="5">
        <f t="shared" si="11"/>
        <v>19.3539683173714</v>
      </c>
      <c r="H58" s="36">
        <f t="shared" si="12"/>
        <v>70.578610455541437</v>
      </c>
      <c r="I58" s="37">
        <f ca="1">+IF(A58 &lt;= $L$2, (Full_Report!C138-'Internal Working'!C58),"")</f>
        <v>35.533431576106594</v>
      </c>
      <c r="J58" s="37">
        <f t="shared" ca="1" si="6"/>
        <v>1883.2718735336482</v>
      </c>
      <c r="K58" s="35" t="str">
        <f t="shared" ca="1" si="7"/>
        <v>0</v>
      </c>
      <c r="L58" s="35">
        <f t="shared" ca="1" si="0"/>
        <v>1883.2718735336482</v>
      </c>
      <c r="M58" s="2"/>
      <c r="N58"/>
    </row>
    <row r="59" spans="1:14" ht="14.4" x14ac:dyDescent="0.3">
      <c r="A59" s="1">
        <f>IF(OR(A58="",F58=0,A58=Refinance_Calculator!$C$29),"",A58+1)</f>
        <v>54</v>
      </c>
      <c r="B59" s="3">
        <f t="shared" si="8"/>
        <v>14096.368122790918</v>
      </c>
      <c r="C59" s="3">
        <f>IF(A59="","",(-PMT(Refinance_Calculator!$C$26/12,Refinance_Calculator!$C$29,Refinance_Calculator!$C$23,0,0)))</f>
        <v>89.932578772912834</v>
      </c>
      <c r="D59" s="3">
        <f t="shared" si="9"/>
        <v>70.481840613954574</v>
      </c>
      <c r="E59" s="3">
        <f>IF(A59="","",(-PPMT(Refinance_Calculator!$C$26/12,'Internal Working'!A59,Refinance_Calculator!$C$29,Refinance_Calculator!$C$23,0,0)))</f>
        <v>19.450738158958263</v>
      </c>
      <c r="F59" s="3">
        <f t="shared" si="10"/>
        <v>14076.917384631961</v>
      </c>
      <c r="G59" s="5">
        <f t="shared" si="11"/>
        <v>19.450738158958263</v>
      </c>
      <c r="H59" s="36">
        <f t="shared" si="12"/>
        <v>70.481840613954574</v>
      </c>
      <c r="I59" s="37">
        <f ca="1">+IF(A59 &lt;= $L$2, (Full_Report!C139-'Internal Working'!C59),"")</f>
        <v>35.533431576106594</v>
      </c>
      <c r="J59" s="37">
        <f t="shared" ca="1" si="6"/>
        <v>1918.8053051097547</v>
      </c>
      <c r="K59" s="35" t="str">
        <f t="shared" ca="1" si="7"/>
        <v>0</v>
      </c>
      <c r="L59" s="35">
        <f t="shared" ca="1" si="0"/>
        <v>1918.8053051097547</v>
      </c>
      <c r="M59" s="2"/>
      <c r="N59"/>
    </row>
    <row r="60" spans="1:14" ht="14.4" x14ac:dyDescent="0.3">
      <c r="A60" s="1">
        <f>IF(OR(A59="",F59=0,A59=Refinance_Calculator!$C$29),"",A59+1)</f>
        <v>55</v>
      </c>
      <c r="B60" s="3">
        <f t="shared" si="8"/>
        <v>14076.917384631961</v>
      </c>
      <c r="C60" s="3">
        <f>IF(A60="","",(-PMT(Refinance_Calculator!$C$26/12,Refinance_Calculator!$C$29,Refinance_Calculator!$C$23,0,0)))</f>
        <v>89.932578772912834</v>
      </c>
      <c r="D60" s="3">
        <f t="shared" si="9"/>
        <v>70.384586923159787</v>
      </c>
      <c r="E60" s="3">
        <f>IF(A60="","",(-PPMT(Refinance_Calculator!$C$26/12,'Internal Working'!A60,Refinance_Calculator!$C$29,Refinance_Calculator!$C$23,0,0)))</f>
        <v>19.54799184975305</v>
      </c>
      <c r="F60" s="3">
        <f t="shared" si="10"/>
        <v>14057.369392782208</v>
      </c>
      <c r="G60" s="5">
        <f t="shared" si="11"/>
        <v>19.54799184975305</v>
      </c>
      <c r="H60" s="36">
        <f t="shared" si="12"/>
        <v>70.384586923159787</v>
      </c>
      <c r="I60" s="37">
        <f ca="1">+IF(A60 &lt;= $L$2, (Full_Report!C140-'Internal Working'!C60),"")</f>
        <v>35.533431576106594</v>
      </c>
      <c r="J60" s="37">
        <f t="shared" ca="1" si="6"/>
        <v>1954.3387366858612</v>
      </c>
      <c r="K60" s="35" t="str">
        <f t="shared" ca="1" si="7"/>
        <v>0</v>
      </c>
      <c r="L60" s="35">
        <f t="shared" ca="1" si="0"/>
        <v>1954.3387366858612</v>
      </c>
      <c r="M60" s="2"/>
      <c r="N60"/>
    </row>
    <row r="61" spans="1:14" ht="14.4" x14ac:dyDescent="0.3">
      <c r="A61" s="1">
        <f>IF(OR(A60="",F60=0,A60=Refinance_Calculator!$C$29),"",A60+1)</f>
        <v>56</v>
      </c>
      <c r="B61" s="3">
        <f t="shared" si="8"/>
        <v>14057.369392782208</v>
      </c>
      <c r="C61" s="3">
        <f>IF(A61="","",(-PMT(Refinance_Calculator!$C$26/12,Refinance_Calculator!$C$29,Refinance_Calculator!$C$23,0,0)))</f>
        <v>89.932578772912834</v>
      </c>
      <c r="D61" s="3">
        <f t="shared" si="9"/>
        <v>70.286846963911017</v>
      </c>
      <c r="E61" s="3">
        <f>IF(A61="","",(-PPMT(Refinance_Calculator!$C$26/12,'Internal Working'!A61,Refinance_Calculator!$C$29,Refinance_Calculator!$C$23,0,0)))</f>
        <v>19.64573180900182</v>
      </c>
      <c r="F61" s="3">
        <f t="shared" si="10"/>
        <v>14037.723660973206</v>
      </c>
      <c r="G61" s="5">
        <f t="shared" si="11"/>
        <v>19.64573180900182</v>
      </c>
      <c r="H61" s="36">
        <f t="shared" si="12"/>
        <v>70.286846963911017</v>
      </c>
      <c r="I61" s="37">
        <f ca="1">+IF(A61 &lt;= $L$2, (Full_Report!C141-'Internal Working'!C61),"")</f>
        <v>35.533431576106594</v>
      </c>
      <c r="J61" s="37">
        <f t="shared" ca="1" si="6"/>
        <v>1989.8721682619678</v>
      </c>
      <c r="K61" s="35" t="str">
        <f t="shared" ca="1" si="7"/>
        <v>0</v>
      </c>
      <c r="L61" s="35">
        <f t="shared" ca="1" si="0"/>
        <v>1989.8721682619678</v>
      </c>
      <c r="M61" s="2"/>
      <c r="N61"/>
    </row>
    <row r="62" spans="1:14" ht="14.4" x14ac:dyDescent="0.3">
      <c r="A62" s="1">
        <f>IF(OR(A61="",F61=0,A61=Refinance_Calculator!$C$29),"",A61+1)</f>
        <v>57</v>
      </c>
      <c r="B62" s="3">
        <f t="shared" si="8"/>
        <v>14037.723660973206</v>
      </c>
      <c r="C62" s="3">
        <f>IF(A62="","",(-PMT(Refinance_Calculator!$C$26/12,Refinance_Calculator!$C$29,Refinance_Calculator!$C$23,0,0)))</f>
        <v>89.932578772912834</v>
      </c>
      <c r="D62" s="3">
        <f t="shared" si="9"/>
        <v>70.188618304866011</v>
      </c>
      <c r="E62" s="3">
        <f>IF(A62="","",(-PPMT(Refinance_Calculator!$C$26/12,'Internal Working'!A62,Refinance_Calculator!$C$29,Refinance_Calculator!$C$23,0,0)))</f>
        <v>19.743960468046826</v>
      </c>
      <c r="F62" s="3">
        <f t="shared" si="10"/>
        <v>14017.979700505159</v>
      </c>
      <c r="G62" s="5">
        <f t="shared" si="11"/>
        <v>19.743960468046826</v>
      </c>
      <c r="H62" s="36">
        <f t="shared" si="12"/>
        <v>70.188618304866011</v>
      </c>
      <c r="I62" s="37">
        <f ca="1">+IF(A62 &lt;= $L$2, (Full_Report!C142-'Internal Working'!C62),"")</f>
        <v>35.533431576106594</v>
      </c>
      <c r="J62" s="37">
        <f t="shared" ca="1" si="6"/>
        <v>2025.4055998380743</v>
      </c>
      <c r="K62" s="35" t="str">
        <f t="shared" ca="1" si="7"/>
        <v>0</v>
      </c>
      <c r="L62" s="35">
        <f t="shared" ca="1" si="0"/>
        <v>2025.4055998380743</v>
      </c>
      <c r="M62" s="2"/>
      <c r="N62"/>
    </row>
    <row r="63" spans="1:14" ht="14.4" x14ac:dyDescent="0.3">
      <c r="A63" s="1">
        <f>IF(OR(A62="",F62=0,A62=Refinance_Calculator!$C$29),"",A62+1)</f>
        <v>58</v>
      </c>
      <c r="B63" s="3">
        <f t="shared" si="8"/>
        <v>14017.979700505159</v>
      </c>
      <c r="C63" s="3">
        <f>IF(A63="","",(-PMT(Refinance_Calculator!$C$26/12,Refinance_Calculator!$C$29,Refinance_Calculator!$C$23,0,0)))</f>
        <v>89.932578772912834</v>
      </c>
      <c r="D63" s="3">
        <f t="shared" si="9"/>
        <v>70.08989850252577</v>
      </c>
      <c r="E63" s="3">
        <f>IF(A63="","",(-PPMT(Refinance_Calculator!$C$26/12,'Internal Working'!A63,Refinance_Calculator!$C$29,Refinance_Calculator!$C$23,0,0)))</f>
        <v>19.84268027038706</v>
      </c>
      <c r="F63" s="3">
        <f t="shared" si="10"/>
        <v>13998.137020234772</v>
      </c>
      <c r="G63" s="5">
        <f t="shared" si="11"/>
        <v>19.84268027038706</v>
      </c>
      <c r="H63" s="36">
        <f t="shared" si="12"/>
        <v>70.08989850252577</v>
      </c>
      <c r="I63" s="37">
        <f ca="1">+IF(A63 &lt;= $L$2, (Full_Report!C143-'Internal Working'!C63),"")</f>
        <v>35.533431576106594</v>
      </c>
      <c r="J63" s="37">
        <f t="shared" ca="1" si="6"/>
        <v>2060.939031414181</v>
      </c>
      <c r="K63" s="35" t="str">
        <f t="shared" ca="1" si="7"/>
        <v>0</v>
      </c>
      <c r="L63" s="35">
        <f t="shared" ca="1" si="0"/>
        <v>2060.939031414181</v>
      </c>
      <c r="M63" s="2"/>
      <c r="N63"/>
    </row>
    <row r="64" spans="1:14" ht="14.4" x14ac:dyDescent="0.3">
      <c r="A64" s="1">
        <f>IF(OR(A63="",F63=0,A63=Refinance_Calculator!$C$29),"",A63+1)</f>
        <v>59</v>
      </c>
      <c r="B64" s="3">
        <f t="shared" si="8"/>
        <v>13998.137020234772</v>
      </c>
      <c r="C64" s="3">
        <f>IF(A64="","",(-PMT(Refinance_Calculator!$C$26/12,Refinance_Calculator!$C$29,Refinance_Calculator!$C$23,0,0)))</f>
        <v>89.932578772912834</v>
      </c>
      <c r="D64" s="3">
        <f t="shared" si="9"/>
        <v>69.990685101173838</v>
      </c>
      <c r="E64" s="3">
        <f>IF(A64="","",(-PPMT(Refinance_Calculator!$C$26/12,'Internal Working'!A64,Refinance_Calculator!$C$29,Refinance_Calculator!$C$23,0,0)))</f>
        <v>19.941893671738995</v>
      </c>
      <c r="F64" s="3">
        <f t="shared" si="10"/>
        <v>13978.195126563032</v>
      </c>
      <c r="G64" s="5">
        <f t="shared" si="11"/>
        <v>19.941893671738995</v>
      </c>
      <c r="H64" s="36">
        <f t="shared" si="12"/>
        <v>69.990685101173838</v>
      </c>
      <c r="I64" s="37">
        <f ca="1">+IF(A64 &lt;= $L$2, (Full_Report!C144-'Internal Working'!C64),"")</f>
        <v>35.533431576106594</v>
      </c>
      <c r="J64" s="37">
        <f t="shared" ca="1" si="6"/>
        <v>2096.4724629902876</v>
      </c>
      <c r="K64" s="35" t="str">
        <f t="shared" ca="1" si="7"/>
        <v>0</v>
      </c>
      <c r="L64" s="35">
        <f t="shared" ca="1" si="0"/>
        <v>2096.4724629902876</v>
      </c>
      <c r="M64" s="2"/>
      <c r="N64"/>
    </row>
    <row r="65" spans="1:14" ht="14.4" x14ac:dyDescent="0.3">
      <c r="A65" s="1">
        <f>IF(OR(A64="",F64=0,A64=Refinance_Calculator!$C$29),"",A64+1)</f>
        <v>60</v>
      </c>
      <c r="B65" s="3">
        <f t="shared" si="8"/>
        <v>13978.195126563032</v>
      </c>
      <c r="C65" s="3">
        <f>IF(A65="","",(-PMT(Refinance_Calculator!$C$26/12,Refinance_Calculator!$C$29,Refinance_Calculator!$C$23,0,0)))</f>
        <v>89.932578772912834</v>
      </c>
      <c r="D65" s="3">
        <f t="shared" si="9"/>
        <v>69.890975632815142</v>
      </c>
      <c r="E65" s="3">
        <f>IF(A65="","",(-PPMT(Refinance_Calculator!$C$26/12,'Internal Working'!A65,Refinance_Calculator!$C$29,Refinance_Calculator!$C$23,0,0)))</f>
        <v>20.041603140097688</v>
      </c>
      <c r="F65" s="3">
        <f t="shared" si="10"/>
        <v>13958.153523422934</v>
      </c>
      <c r="G65" s="5">
        <f t="shared" si="11"/>
        <v>20.041603140097688</v>
      </c>
      <c r="H65" s="36">
        <f t="shared" si="12"/>
        <v>69.890975632815142</v>
      </c>
      <c r="I65" s="37">
        <f ca="1">+IF(A65 &lt;= $L$2, (Full_Report!C145-'Internal Working'!C65),"")</f>
        <v>35.533431576106594</v>
      </c>
      <c r="J65" s="37">
        <f t="shared" ca="1" si="6"/>
        <v>2132.0058945663941</v>
      </c>
      <c r="K65" s="35" t="str">
        <f t="shared" ca="1" si="7"/>
        <v>0</v>
      </c>
      <c r="L65" s="35">
        <f t="shared" ca="1" si="0"/>
        <v>2132.0058945663941</v>
      </c>
      <c r="M65" s="2"/>
      <c r="N65"/>
    </row>
    <row r="66" spans="1:14" ht="14.4" x14ac:dyDescent="0.3">
      <c r="A66" s="1">
        <f>IF(OR(A65="",F65=0,A65=Refinance_Calculator!$C$29),"",A65+1)</f>
        <v>61</v>
      </c>
      <c r="B66" s="3">
        <f t="shared" si="8"/>
        <v>13958.153523422934</v>
      </c>
      <c r="C66" s="3">
        <f>IF(A66="","",(-PMT(Refinance_Calculator!$C$26/12,Refinance_Calculator!$C$29,Refinance_Calculator!$C$23,0,0)))</f>
        <v>89.932578772912834</v>
      </c>
      <c r="D66" s="3">
        <f t="shared" si="9"/>
        <v>69.790767617114653</v>
      </c>
      <c r="E66" s="3">
        <f>IF(A66="","",(-PPMT(Refinance_Calculator!$C$26/12,'Internal Working'!A66,Refinance_Calculator!$C$29,Refinance_Calculator!$C$23,0,0)))</f>
        <v>20.141811155798177</v>
      </c>
      <c r="F66" s="3">
        <f t="shared" si="10"/>
        <v>13938.011712267136</v>
      </c>
      <c r="G66" s="5">
        <f t="shared" si="11"/>
        <v>20.141811155798177</v>
      </c>
      <c r="H66" s="36">
        <f t="shared" si="12"/>
        <v>69.790767617114653</v>
      </c>
      <c r="I66" s="37">
        <f ca="1">+IF(A66 &lt;= $L$2, (Full_Report!C146-'Internal Working'!C66),"")</f>
        <v>35.533431576106594</v>
      </c>
      <c r="J66" s="37">
        <f t="shared" ca="1" si="6"/>
        <v>2167.5393261425006</v>
      </c>
      <c r="K66" s="35" t="str">
        <f t="shared" ca="1" si="7"/>
        <v>0</v>
      </c>
      <c r="L66" s="35">
        <f t="shared" ca="1" si="0"/>
        <v>2167.5393261425006</v>
      </c>
      <c r="M66" s="2"/>
      <c r="N66"/>
    </row>
    <row r="67" spans="1:14" ht="14.4" x14ac:dyDescent="0.3">
      <c r="A67" s="1">
        <f>IF(OR(A66="",F66=0,A66=Refinance_Calculator!$C$29),"",A66+1)</f>
        <v>62</v>
      </c>
      <c r="B67" s="3">
        <f t="shared" si="8"/>
        <v>13938.011712267136</v>
      </c>
      <c r="C67" s="3">
        <f>IF(A67="","",(-PMT(Refinance_Calculator!$C$26/12,Refinance_Calculator!$C$29,Refinance_Calculator!$C$23,0,0)))</f>
        <v>89.932578772912834</v>
      </c>
      <c r="D67" s="3">
        <f t="shared" si="9"/>
        <v>69.690058561335661</v>
      </c>
      <c r="E67" s="3">
        <f>IF(A67="","",(-PPMT(Refinance_Calculator!$C$26/12,'Internal Working'!A67,Refinance_Calculator!$C$29,Refinance_Calculator!$C$23,0,0)))</f>
        <v>20.242520211577169</v>
      </c>
      <c r="F67" s="3">
        <f t="shared" si="10"/>
        <v>13917.769192055559</v>
      </c>
      <c r="G67" s="5">
        <f t="shared" si="11"/>
        <v>20.242520211577169</v>
      </c>
      <c r="H67" s="36">
        <f t="shared" si="12"/>
        <v>69.690058561335661</v>
      </c>
      <c r="I67" s="37">
        <f ca="1">+IF(A67 &lt;= $L$2, (Full_Report!C147-'Internal Working'!C67),"")</f>
        <v>35.533431576106594</v>
      </c>
      <c r="J67" s="37">
        <f t="shared" ca="1" si="6"/>
        <v>2203.0727577186071</v>
      </c>
      <c r="K67" s="35" t="str">
        <f t="shared" ca="1" si="7"/>
        <v>0</v>
      </c>
      <c r="L67" s="35">
        <f t="shared" ca="1" si="0"/>
        <v>2203.0727577186071</v>
      </c>
      <c r="M67" s="2"/>
      <c r="N67"/>
    </row>
    <row r="68" spans="1:14" ht="14.4" x14ac:dyDescent="0.3">
      <c r="A68" s="1">
        <f>IF(OR(A67="",F67=0,A67=Refinance_Calculator!$C$29),"",A67+1)</f>
        <v>63</v>
      </c>
      <c r="B68" s="3">
        <f t="shared" si="8"/>
        <v>13917.769192055559</v>
      </c>
      <c r="C68" s="3">
        <f>IF(A68="","",(-PMT(Refinance_Calculator!$C$26/12,Refinance_Calculator!$C$29,Refinance_Calculator!$C$23,0,0)))</f>
        <v>89.932578772912834</v>
      </c>
      <c r="D68" s="3">
        <f t="shared" si="9"/>
        <v>69.58884596027778</v>
      </c>
      <c r="E68" s="3">
        <f>IF(A68="","",(-PPMT(Refinance_Calculator!$C$26/12,'Internal Working'!A68,Refinance_Calculator!$C$29,Refinance_Calculator!$C$23,0,0)))</f>
        <v>20.343732812635057</v>
      </c>
      <c r="F68" s="3">
        <f t="shared" si="10"/>
        <v>13897.425459242924</v>
      </c>
      <c r="G68" s="5">
        <f t="shared" si="11"/>
        <v>20.343732812635057</v>
      </c>
      <c r="H68" s="36">
        <f t="shared" si="12"/>
        <v>69.58884596027778</v>
      </c>
      <c r="I68" s="37">
        <f ca="1">+IF(A68 &lt;= $L$2, (Full_Report!C148-'Internal Working'!C68),"")</f>
        <v>35.533431576106594</v>
      </c>
      <c r="J68" s="37">
        <f t="shared" ca="1" si="6"/>
        <v>2238.6061892947137</v>
      </c>
      <c r="K68" s="35" t="str">
        <f t="shared" ca="1" si="7"/>
        <v>0</v>
      </c>
      <c r="L68" s="35">
        <f t="shared" ca="1" si="0"/>
        <v>2238.6061892947137</v>
      </c>
      <c r="M68" s="2"/>
      <c r="N68"/>
    </row>
    <row r="69" spans="1:14" ht="14.4" x14ac:dyDescent="0.3">
      <c r="A69" s="1">
        <f>IF(OR(A68="",F68=0,A68=Refinance_Calculator!$C$29),"",A68+1)</f>
        <v>64</v>
      </c>
      <c r="B69" s="3">
        <f t="shared" si="8"/>
        <v>13897.425459242924</v>
      </c>
      <c r="C69" s="3">
        <f>IF(A69="","",(-PMT(Refinance_Calculator!$C$26/12,Refinance_Calculator!$C$29,Refinance_Calculator!$C$23,0,0)))</f>
        <v>89.932578772912834</v>
      </c>
      <c r="D69" s="3">
        <f t="shared" si="9"/>
        <v>69.487127296214609</v>
      </c>
      <c r="E69" s="3">
        <f>IF(A69="","",(-PPMT(Refinance_Calculator!$C$26/12,'Internal Working'!A69,Refinance_Calculator!$C$29,Refinance_Calculator!$C$23,0,0)))</f>
        <v>20.445451476698228</v>
      </c>
      <c r="F69" s="3">
        <f t="shared" si="10"/>
        <v>13876.980007766226</v>
      </c>
      <c r="G69" s="5">
        <f t="shared" si="11"/>
        <v>20.445451476698228</v>
      </c>
      <c r="H69" s="36">
        <f t="shared" si="12"/>
        <v>69.487127296214609</v>
      </c>
      <c r="I69" s="37">
        <f ca="1">+IF(A69 &lt;= $L$2, (Full_Report!C149-'Internal Working'!C69),"")</f>
        <v>35.533431576106594</v>
      </c>
      <c r="J69" s="37">
        <f t="shared" ca="1" si="6"/>
        <v>2274.1396208708202</v>
      </c>
      <c r="K69" s="35" t="str">
        <f t="shared" ca="1" si="7"/>
        <v>0</v>
      </c>
      <c r="L69" s="35">
        <f t="shared" ca="1" si="0"/>
        <v>2274.1396208708202</v>
      </c>
      <c r="M69" s="2"/>
      <c r="N69"/>
    </row>
    <row r="70" spans="1:14" ht="14.4" x14ac:dyDescent="0.3">
      <c r="A70" s="1">
        <f>IF(OR(A69="",F69=0,A69=Refinance_Calculator!$C$29),"",A69+1)</f>
        <v>65</v>
      </c>
      <c r="B70" s="3">
        <f t="shared" si="8"/>
        <v>13876.980007766226</v>
      </c>
      <c r="C70" s="3">
        <f>IF(A70="","",(-PMT(Refinance_Calculator!$C$26/12,Refinance_Calculator!$C$29,Refinance_Calculator!$C$23,0,0)))</f>
        <v>89.932578772912834</v>
      </c>
      <c r="D70" s="3">
        <f t="shared" si="9"/>
        <v>69.384900038831105</v>
      </c>
      <c r="E70" s="3">
        <f>IF(A70="","",(-PPMT(Refinance_Calculator!$C$26/12,'Internal Working'!A70,Refinance_Calculator!$C$29,Refinance_Calculator!$C$23,0,0)))</f>
        <v>20.547678734081725</v>
      </c>
      <c r="F70" s="3">
        <f t="shared" si="10"/>
        <v>13856.432329032144</v>
      </c>
      <c r="G70" s="5">
        <f t="shared" si="11"/>
        <v>20.547678734081725</v>
      </c>
      <c r="H70" s="36">
        <f t="shared" si="12"/>
        <v>69.384900038831105</v>
      </c>
      <c r="I70" s="37">
        <f ca="1">+IF(A70 &lt;= $L$2, (Full_Report!C150-'Internal Working'!C70),"")</f>
        <v>35.533431576106594</v>
      </c>
      <c r="J70" s="37">
        <f t="shared" ca="1" si="6"/>
        <v>2309.6730524469267</v>
      </c>
      <c r="K70" s="35" t="str">
        <f t="shared" ca="1" si="7"/>
        <v>0</v>
      </c>
      <c r="L70" s="35">
        <f t="shared" ca="1" si="0"/>
        <v>2309.6730524469267</v>
      </c>
      <c r="M70" s="2"/>
      <c r="N70"/>
    </row>
    <row r="71" spans="1:14" ht="14.4" x14ac:dyDescent="0.3">
      <c r="A71" s="1">
        <f>IF(OR(A70="",F70=0,A70=Refinance_Calculator!$C$29),"",A70+1)</f>
        <v>66</v>
      </c>
      <c r="B71" s="3">
        <f t="shared" si="8"/>
        <v>13856.432329032144</v>
      </c>
      <c r="C71" s="3">
        <f>IF(A71="","",(-PMT(Refinance_Calculator!$C$26/12,Refinance_Calculator!$C$29,Refinance_Calculator!$C$23,0,0)))</f>
        <v>89.932578772912834</v>
      </c>
      <c r="D71" s="3">
        <f t="shared" si="9"/>
        <v>69.282161645160699</v>
      </c>
      <c r="E71" s="3">
        <f>IF(A71="","",(-PPMT(Refinance_Calculator!$C$26/12,'Internal Working'!A71,Refinance_Calculator!$C$29,Refinance_Calculator!$C$23,0,0)))</f>
        <v>20.650417127752132</v>
      </c>
      <c r="F71" s="3">
        <f t="shared" si="10"/>
        <v>13835.781911904392</v>
      </c>
      <c r="G71" s="5">
        <f t="shared" si="11"/>
        <v>20.650417127752132</v>
      </c>
      <c r="H71" s="36">
        <f t="shared" si="12"/>
        <v>69.282161645160699</v>
      </c>
      <c r="I71" s="37">
        <f ca="1">+IF(A71 &lt;= $L$2, (Full_Report!C151-'Internal Working'!C71),"")</f>
        <v>35.533431576106594</v>
      </c>
      <c r="J71" s="37">
        <f t="shared" ca="1" si="6"/>
        <v>2345.2064840230332</v>
      </c>
      <c r="K71" s="35" t="str">
        <f t="shared" ca="1" si="7"/>
        <v>0</v>
      </c>
      <c r="L71" s="35">
        <f t="shared" ref="L71:L134" ca="1" si="13">+IF(A71 = "","",(J71+K71))</f>
        <v>2345.2064840230332</v>
      </c>
      <c r="M71" s="2"/>
      <c r="N71"/>
    </row>
    <row r="72" spans="1:14" ht="14.4" x14ac:dyDescent="0.3">
      <c r="A72" s="1">
        <f>IF(OR(A71="",F71=0,A71=Refinance_Calculator!$C$29),"",A71+1)</f>
        <v>67</v>
      </c>
      <c r="B72" s="3">
        <f t="shared" si="8"/>
        <v>13835.781911904392</v>
      </c>
      <c r="C72" s="3">
        <f>IF(A72="","",(-PMT(Refinance_Calculator!$C$26/12,Refinance_Calculator!$C$29,Refinance_Calculator!$C$23,0,0)))</f>
        <v>89.932578772912834</v>
      </c>
      <c r="D72" s="3">
        <f t="shared" si="9"/>
        <v>69.178909559521941</v>
      </c>
      <c r="E72" s="3">
        <f>IF(A72="","",(-PPMT(Refinance_Calculator!$C$26/12,'Internal Working'!A72,Refinance_Calculator!$C$29,Refinance_Calculator!$C$23,0,0)))</f>
        <v>20.753669213390896</v>
      </c>
      <c r="F72" s="3">
        <f t="shared" si="10"/>
        <v>13815.028242691002</v>
      </c>
      <c r="G72" s="5">
        <f t="shared" si="11"/>
        <v>20.753669213390896</v>
      </c>
      <c r="H72" s="36">
        <f t="shared" si="12"/>
        <v>69.178909559521941</v>
      </c>
      <c r="I72" s="37">
        <f ca="1">+IF(A72 &lt;= $L$2, (Full_Report!C152-'Internal Working'!C72),"")</f>
        <v>35.533431576106594</v>
      </c>
      <c r="J72" s="37">
        <f t="shared" ref="J72:J135" ca="1" si="14">IF(I72="","0",(I72+J71))</f>
        <v>2380.7399155991397</v>
      </c>
      <c r="K72" s="35" t="str">
        <f t="shared" ref="K72:K135" ca="1" si="15">+IF(A72="","0",IF(A72&gt;$L$2,(K71-C72),"0"))</f>
        <v>0</v>
      </c>
      <c r="L72" s="35">
        <f t="shared" ca="1" si="13"/>
        <v>2380.7399155991397</v>
      </c>
      <c r="M72" s="2"/>
      <c r="N72"/>
    </row>
    <row r="73" spans="1:14" ht="14.4" x14ac:dyDescent="0.3">
      <c r="A73" s="1">
        <f>IF(OR(A72="",F72=0,A72=Refinance_Calculator!$C$29),"",A72+1)</f>
        <v>68</v>
      </c>
      <c r="B73" s="3">
        <f t="shared" si="8"/>
        <v>13815.028242691002</v>
      </c>
      <c r="C73" s="3">
        <f>IF(A73="","",(-PMT(Refinance_Calculator!$C$26/12,Refinance_Calculator!$C$29,Refinance_Calculator!$C$23,0,0)))</f>
        <v>89.932578772912834</v>
      </c>
      <c r="D73" s="3">
        <f t="shared" si="9"/>
        <v>69.075141213454984</v>
      </c>
      <c r="E73" s="3">
        <f>IF(A73="","",(-PPMT(Refinance_Calculator!$C$26/12,'Internal Working'!A73,Refinance_Calculator!$C$29,Refinance_Calculator!$C$23,0,0)))</f>
        <v>20.857437559457846</v>
      </c>
      <c r="F73" s="3">
        <f t="shared" si="10"/>
        <v>13794.170805131544</v>
      </c>
      <c r="G73" s="5">
        <f t="shared" si="11"/>
        <v>20.857437559457846</v>
      </c>
      <c r="H73" s="36">
        <f t="shared" si="12"/>
        <v>69.075141213454984</v>
      </c>
      <c r="I73" s="37">
        <f ca="1">+IF(A73 &lt;= $L$2, (Full_Report!C153-'Internal Working'!C73),"")</f>
        <v>35.533431576106594</v>
      </c>
      <c r="J73" s="37">
        <f t="shared" ca="1" si="14"/>
        <v>2416.2733471752463</v>
      </c>
      <c r="K73" s="35" t="str">
        <f t="shared" ca="1" si="15"/>
        <v>0</v>
      </c>
      <c r="L73" s="35">
        <f t="shared" ca="1" si="13"/>
        <v>2416.2733471752463</v>
      </c>
      <c r="M73" s="2"/>
      <c r="N73"/>
    </row>
    <row r="74" spans="1:14" ht="14.4" x14ac:dyDescent="0.3">
      <c r="A74" s="1">
        <f>IF(OR(A73="",F73=0,A73=Refinance_Calculator!$C$29),"",A73+1)</f>
        <v>69</v>
      </c>
      <c r="B74" s="3">
        <f t="shared" si="8"/>
        <v>13794.170805131544</v>
      </c>
      <c r="C74" s="3">
        <f>IF(A74="","",(-PMT(Refinance_Calculator!$C$26/12,Refinance_Calculator!$C$29,Refinance_Calculator!$C$23,0,0)))</f>
        <v>89.932578772912834</v>
      </c>
      <c r="D74" s="3">
        <f t="shared" si="9"/>
        <v>68.970854025657701</v>
      </c>
      <c r="E74" s="3">
        <f>IF(A74="","",(-PPMT(Refinance_Calculator!$C$26/12,'Internal Working'!A74,Refinance_Calculator!$C$29,Refinance_Calculator!$C$23,0,0)))</f>
        <v>20.961724747255136</v>
      </c>
      <c r="F74" s="3">
        <f t="shared" si="10"/>
        <v>13773.209080384289</v>
      </c>
      <c r="G74" s="5">
        <f t="shared" si="11"/>
        <v>20.961724747255136</v>
      </c>
      <c r="H74" s="36">
        <f t="shared" si="12"/>
        <v>68.970854025657701</v>
      </c>
      <c r="I74" s="37">
        <f ca="1">+IF(A74 &lt;= $L$2, (Full_Report!C154-'Internal Working'!C74),"")</f>
        <v>35.533431576106594</v>
      </c>
      <c r="J74" s="37">
        <f t="shared" ca="1" si="14"/>
        <v>2451.8067787513528</v>
      </c>
      <c r="K74" s="35" t="str">
        <f t="shared" ca="1" si="15"/>
        <v>0</v>
      </c>
      <c r="L74" s="35">
        <f t="shared" ca="1" si="13"/>
        <v>2451.8067787513528</v>
      </c>
      <c r="M74" s="2"/>
      <c r="N74"/>
    </row>
    <row r="75" spans="1:14" ht="14.4" x14ac:dyDescent="0.3">
      <c r="A75" s="1">
        <f>IF(OR(A74="",F74=0,A74=Refinance_Calculator!$C$29),"",A74+1)</f>
        <v>70</v>
      </c>
      <c r="B75" s="3">
        <f t="shared" si="8"/>
        <v>13773.209080384289</v>
      </c>
      <c r="C75" s="3">
        <f>IF(A75="","",(-PMT(Refinance_Calculator!$C$26/12,Refinance_Calculator!$C$29,Refinance_Calculator!$C$23,0,0)))</f>
        <v>89.932578772912834</v>
      </c>
      <c r="D75" s="3">
        <f t="shared" si="9"/>
        <v>68.866045401921426</v>
      </c>
      <c r="E75" s="3">
        <f>IF(A75="","",(-PPMT(Refinance_Calculator!$C$26/12,'Internal Working'!A75,Refinance_Calculator!$C$29,Refinance_Calculator!$C$23,0,0)))</f>
        <v>21.066533370991412</v>
      </c>
      <c r="F75" s="3">
        <f t="shared" si="10"/>
        <v>13752.142547013298</v>
      </c>
      <c r="G75" s="5">
        <f t="shared" si="11"/>
        <v>21.066533370991412</v>
      </c>
      <c r="H75" s="36">
        <f t="shared" si="12"/>
        <v>68.866045401921426</v>
      </c>
      <c r="I75" s="37">
        <f ca="1">+IF(A75 &lt;= $L$2, (Full_Report!C155-'Internal Working'!C75),"")</f>
        <v>35.533431576106594</v>
      </c>
      <c r="J75" s="37">
        <f t="shared" ca="1" si="14"/>
        <v>2487.3402103274593</v>
      </c>
      <c r="K75" s="35" t="str">
        <f t="shared" ca="1" si="15"/>
        <v>0</v>
      </c>
      <c r="L75" s="35">
        <f t="shared" ca="1" si="13"/>
        <v>2487.3402103274593</v>
      </c>
      <c r="M75" s="2"/>
      <c r="N75"/>
    </row>
    <row r="76" spans="1:14" ht="14.4" x14ac:dyDescent="0.3">
      <c r="A76" s="1">
        <f>IF(OR(A75="",F75=0,A75=Refinance_Calculator!$C$29),"",A75+1)</f>
        <v>71</v>
      </c>
      <c r="B76" s="3">
        <f t="shared" si="8"/>
        <v>13752.142547013298</v>
      </c>
      <c r="C76" s="3">
        <f>IF(A76="","",(-PMT(Refinance_Calculator!$C$26/12,Refinance_Calculator!$C$29,Refinance_Calculator!$C$23,0,0)))</f>
        <v>89.932578772912834</v>
      </c>
      <c r="D76" s="3">
        <f t="shared" si="9"/>
        <v>68.760712735066463</v>
      </c>
      <c r="E76" s="3">
        <f>IF(A76="","",(-PPMT(Refinance_Calculator!$C$26/12,'Internal Working'!A76,Refinance_Calculator!$C$29,Refinance_Calculator!$C$23,0,0)))</f>
        <v>21.171866037846367</v>
      </c>
      <c r="F76" s="3">
        <f t="shared" si="10"/>
        <v>13730.970680975452</v>
      </c>
      <c r="G76" s="5">
        <f t="shared" si="11"/>
        <v>21.171866037846367</v>
      </c>
      <c r="H76" s="36">
        <f t="shared" si="12"/>
        <v>68.760712735066463</v>
      </c>
      <c r="I76" s="37">
        <f ca="1">+IF(A76 &lt;= $L$2, (Full_Report!C156-'Internal Working'!C76),"")</f>
        <v>35.533431576106594</v>
      </c>
      <c r="J76" s="37">
        <f t="shared" ca="1" si="14"/>
        <v>2522.8736419035658</v>
      </c>
      <c r="K76" s="35" t="str">
        <f t="shared" ca="1" si="15"/>
        <v>0</v>
      </c>
      <c r="L76" s="35">
        <f t="shared" ca="1" si="13"/>
        <v>2522.8736419035658</v>
      </c>
      <c r="M76" s="2"/>
      <c r="N76"/>
    </row>
    <row r="77" spans="1:14" ht="14.4" x14ac:dyDescent="0.3">
      <c r="A77" s="1">
        <f>IF(OR(A76="",F76=0,A76=Refinance_Calculator!$C$29),"",A76+1)</f>
        <v>72</v>
      </c>
      <c r="B77" s="3">
        <f t="shared" si="8"/>
        <v>13730.970680975452</v>
      </c>
      <c r="C77" s="3">
        <f>IF(A77="","",(-PMT(Refinance_Calculator!$C$26/12,Refinance_Calculator!$C$29,Refinance_Calculator!$C$23,0,0)))</f>
        <v>89.932578772912834</v>
      </c>
      <c r="D77" s="3">
        <f t="shared" si="9"/>
        <v>68.65485340487723</v>
      </c>
      <c r="E77" s="3">
        <f>IF(A77="","",(-PPMT(Refinance_Calculator!$C$26/12,'Internal Working'!A77,Refinance_Calculator!$C$29,Refinance_Calculator!$C$23,0,0)))</f>
        <v>21.2777253680356</v>
      </c>
      <c r="F77" s="3">
        <f t="shared" si="10"/>
        <v>13709.692955607416</v>
      </c>
      <c r="G77" s="5">
        <f t="shared" si="11"/>
        <v>21.2777253680356</v>
      </c>
      <c r="H77" s="36">
        <f t="shared" si="12"/>
        <v>68.65485340487723</v>
      </c>
      <c r="I77" s="37">
        <f ca="1">+IF(A77 &lt;= $L$2, (Full_Report!C157-'Internal Working'!C77),"")</f>
        <v>35.533431576106594</v>
      </c>
      <c r="J77" s="37">
        <f t="shared" ca="1" si="14"/>
        <v>2558.4070734796724</v>
      </c>
      <c r="K77" s="35" t="str">
        <f t="shared" ca="1" si="15"/>
        <v>0</v>
      </c>
      <c r="L77" s="35">
        <f t="shared" ca="1" si="13"/>
        <v>2558.4070734796724</v>
      </c>
      <c r="M77" s="2"/>
      <c r="N77"/>
    </row>
    <row r="78" spans="1:14" ht="14.4" x14ac:dyDescent="0.3">
      <c r="A78" s="1">
        <f>IF(OR(A77="",F77=0,A77=Refinance_Calculator!$C$29),"",A77+1)</f>
        <v>73</v>
      </c>
      <c r="B78" s="3">
        <f t="shared" si="8"/>
        <v>13709.692955607416</v>
      </c>
      <c r="C78" s="3">
        <f>IF(A78="","",(-PMT(Refinance_Calculator!$C$26/12,Refinance_Calculator!$C$29,Refinance_Calculator!$C$23,0,0)))</f>
        <v>89.932578772912834</v>
      </c>
      <c r="D78" s="3">
        <f t="shared" si="9"/>
        <v>68.548464778037058</v>
      </c>
      <c r="E78" s="3">
        <f>IF(A78="","",(-PPMT(Refinance_Calculator!$C$26/12,'Internal Working'!A78,Refinance_Calculator!$C$29,Refinance_Calculator!$C$23,0,0)))</f>
        <v>21.384113994875776</v>
      </c>
      <c r="F78" s="3">
        <f t="shared" si="10"/>
        <v>13688.308841612539</v>
      </c>
      <c r="G78" s="5">
        <f t="shared" si="11"/>
        <v>21.384113994875776</v>
      </c>
      <c r="H78" s="36">
        <f t="shared" si="12"/>
        <v>68.548464778037058</v>
      </c>
      <c r="I78" s="37">
        <f ca="1">+IF(A78 &lt;= $L$2, (Full_Report!C158-'Internal Working'!C78),"")</f>
        <v>35.533431576106594</v>
      </c>
      <c r="J78" s="37">
        <f t="shared" ca="1" si="14"/>
        <v>2593.9405050557789</v>
      </c>
      <c r="K78" s="35" t="str">
        <f t="shared" ca="1" si="15"/>
        <v>0</v>
      </c>
      <c r="L78" s="35">
        <f t="shared" ca="1" si="13"/>
        <v>2593.9405050557789</v>
      </c>
      <c r="M78" s="2"/>
      <c r="N78"/>
    </row>
    <row r="79" spans="1:14" ht="14.4" x14ac:dyDescent="0.3">
      <c r="A79" s="1">
        <f>IF(OR(A78="",F78=0,A78=Refinance_Calculator!$C$29),"",A78+1)</f>
        <v>74</v>
      </c>
      <c r="B79" s="3">
        <f t="shared" si="8"/>
        <v>13688.308841612539</v>
      </c>
      <c r="C79" s="3">
        <f>IF(A79="","",(-PMT(Refinance_Calculator!$C$26/12,Refinance_Calculator!$C$29,Refinance_Calculator!$C$23,0,0)))</f>
        <v>89.932578772912834</v>
      </c>
      <c r="D79" s="3">
        <f t="shared" si="9"/>
        <v>68.44154420806268</v>
      </c>
      <c r="E79" s="3">
        <f>IF(A79="","",(-PPMT(Refinance_Calculator!$C$26/12,'Internal Working'!A79,Refinance_Calculator!$C$29,Refinance_Calculator!$C$23,0,0)))</f>
        <v>21.491034564850157</v>
      </c>
      <c r="F79" s="3">
        <f t="shared" si="10"/>
        <v>13666.81780704769</v>
      </c>
      <c r="G79" s="5">
        <f t="shared" si="11"/>
        <v>21.491034564850157</v>
      </c>
      <c r="H79" s="36">
        <f t="shared" si="12"/>
        <v>68.44154420806268</v>
      </c>
      <c r="I79" s="37">
        <f ca="1">+IF(A79 &lt;= $L$2, (Full_Report!C159-'Internal Working'!C79),"")</f>
        <v>35.533431576106594</v>
      </c>
      <c r="J79" s="37">
        <f t="shared" ca="1" si="14"/>
        <v>2629.4739366318854</v>
      </c>
      <c r="K79" s="35" t="str">
        <f t="shared" ca="1" si="15"/>
        <v>0</v>
      </c>
      <c r="L79" s="35">
        <f t="shared" ca="1" si="13"/>
        <v>2629.4739366318854</v>
      </c>
      <c r="M79" s="2"/>
      <c r="N79"/>
    </row>
    <row r="80" spans="1:14" ht="14.4" x14ac:dyDescent="0.3">
      <c r="A80" s="1">
        <f>IF(OR(A79="",F79=0,A79=Refinance_Calculator!$C$29),"",A79+1)</f>
        <v>75</v>
      </c>
      <c r="B80" s="3">
        <f t="shared" si="8"/>
        <v>13666.81780704769</v>
      </c>
      <c r="C80" s="3">
        <f>IF(A80="","",(-PMT(Refinance_Calculator!$C$26/12,Refinance_Calculator!$C$29,Refinance_Calculator!$C$23,0,0)))</f>
        <v>89.932578772912834</v>
      </c>
      <c r="D80" s="3">
        <f t="shared" si="9"/>
        <v>68.334089035238435</v>
      </c>
      <c r="E80" s="3">
        <f>IF(A80="","",(-PPMT(Refinance_Calculator!$C$26/12,'Internal Working'!A80,Refinance_Calculator!$C$29,Refinance_Calculator!$C$23,0,0)))</f>
        <v>21.598489737674406</v>
      </c>
      <c r="F80" s="3">
        <f t="shared" si="10"/>
        <v>13645.219317310015</v>
      </c>
      <c r="G80" s="5">
        <f t="shared" si="11"/>
        <v>21.598489737674406</v>
      </c>
      <c r="H80" s="36">
        <f t="shared" si="12"/>
        <v>68.334089035238435</v>
      </c>
      <c r="I80" s="37">
        <f ca="1">+IF(A80 &lt;= $L$2, (Full_Report!C160-'Internal Working'!C80),"")</f>
        <v>35.533431576106594</v>
      </c>
      <c r="J80" s="37">
        <f t="shared" ca="1" si="14"/>
        <v>2665.0073682079919</v>
      </c>
      <c r="K80" s="35" t="str">
        <f t="shared" ca="1" si="15"/>
        <v>0</v>
      </c>
      <c r="L80" s="35">
        <f t="shared" ca="1" si="13"/>
        <v>2665.0073682079919</v>
      </c>
      <c r="M80" s="2"/>
      <c r="N80"/>
    </row>
    <row r="81" spans="1:13" x14ac:dyDescent="0.25">
      <c r="A81" s="1">
        <f>IF(OR(A80="",F80=0,A80=Refinance_Calculator!$C$29),"",A80+1)</f>
        <v>76</v>
      </c>
      <c r="B81" s="3">
        <f t="shared" si="8"/>
        <v>13645.219317310015</v>
      </c>
      <c r="C81" s="3">
        <f>IF(A81="","",(-PMT(Refinance_Calculator!$C$26/12,Refinance_Calculator!$C$29,Refinance_Calculator!$C$23,0,0)))</f>
        <v>89.932578772912834</v>
      </c>
      <c r="D81" s="3">
        <f t="shared" si="9"/>
        <v>68.226096586550057</v>
      </c>
      <c r="E81" s="3">
        <f>IF(A81="","",(-PPMT(Refinance_Calculator!$C$26/12,'Internal Working'!A81,Refinance_Calculator!$C$29,Refinance_Calculator!$C$23,0,0)))</f>
        <v>21.706482186362784</v>
      </c>
      <c r="F81" s="3">
        <f t="shared" si="10"/>
        <v>13623.512835123653</v>
      </c>
      <c r="G81" s="5">
        <f t="shared" si="11"/>
        <v>21.706482186362784</v>
      </c>
      <c r="H81" s="36">
        <f t="shared" si="12"/>
        <v>68.226096586550057</v>
      </c>
      <c r="I81" s="37">
        <f ca="1">+IF(A81 &lt;= $L$2, (Full_Report!C161-'Internal Working'!C81),"")</f>
        <v>35.533431576106594</v>
      </c>
      <c r="J81" s="37">
        <f t="shared" ca="1" si="14"/>
        <v>2700.5407997840985</v>
      </c>
      <c r="K81" s="35" t="str">
        <f t="shared" ca="1" si="15"/>
        <v>0</v>
      </c>
      <c r="L81" s="35">
        <f t="shared" ca="1" si="13"/>
        <v>2700.5407997840985</v>
      </c>
      <c r="M81" s="2"/>
    </row>
    <row r="82" spans="1:13" x14ac:dyDescent="0.25">
      <c r="A82" s="1">
        <f>IF(OR(A81="",F81=0,A81=Refinance_Calculator!$C$29),"",A81+1)</f>
        <v>77</v>
      </c>
      <c r="B82" s="3">
        <f t="shared" ref="B82:B145" si="16">IF(A82="","",(F81))</f>
        <v>13623.512835123653</v>
      </c>
      <c r="C82" s="3">
        <f>IF(A82="","",(-PMT(Refinance_Calculator!$C$26/12,Refinance_Calculator!$C$29,Refinance_Calculator!$C$23,0,0)))</f>
        <v>89.932578772912834</v>
      </c>
      <c r="D82" s="3">
        <f t="shared" ref="D82:D145" si="17">+IF(A82="","",(C82-E82))</f>
        <v>68.117564175618242</v>
      </c>
      <c r="E82" s="3">
        <f>IF(A82="","",(-PPMT(Refinance_Calculator!$C$26/12,'Internal Working'!A82,Refinance_Calculator!$C$29,Refinance_Calculator!$C$23,0,0)))</f>
        <v>21.815014597294589</v>
      </c>
      <c r="F82" s="3">
        <f t="shared" ref="F82:F145" si="18">+IF(A82="","",(B82-E82))</f>
        <v>13601.697820526359</v>
      </c>
      <c r="G82" s="5">
        <f t="shared" ref="G82:G145" si="19">+E82</f>
        <v>21.815014597294589</v>
      </c>
      <c r="H82" s="36">
        <f t="shared" ref="H82:H145" si="20">+D82</f>
        <v>68.117564175618242</v>
      </c>
      <c r="I82" s="37">
        <f ca="1">+IF(A82 &lt;= $L$2, (Full_Report!C162-'Internal Working'!C82),"")</f>
        <v>35.533431576106594</v>
      </c>
      <c r="J82" s="37">
        <f t="shared" ca="1" si="14"/>
        <v>2736.074231360205</v>
      </c>
      <c r="K82" s="35" t="str">
        <f t="shared" ca="1" si="15"/>
        <v>0</v>
      </c>
      <c r="L82" s="35">
        <f t="shared" ca="1" si="13"/>
        <v>2736.074231360205</v>
      </c>
      <c r="M82" s="2"/>
    </row>
    <row r="83" spans="1:13" x14ac:dyDescent="0.25">
      <c r="A83" s="1">
        <f>IF(OR(A82="",F82=0,A82=Refinance_Calculator!$C$29),"",A82+1)</f>
        <v>78</v>
      </c>
      <c r="B83" s="3">
        <f t="shared" si="16"/>
        <v>13601.697820526359</v>
      </c>
      <c r="C83" s="3">
        <f>IF(A83="","",(-PMT(Refinance_Calculator!$C$26/12,Refinance_Calculator!$C$29,Refinance_Calculator!$C$23,0,0)))</f>
        <v>89.932578772912834</v>
      </c>
      <c r="D83" s="3">
        <f t="shared" si="17"/>
        <v>68.008489102631756</v>
      </c>
      <c r="E83" s="3">
        <f>IF(A83="","",(-PPMT(Refinance_Calculator!$C$26/12,'Internal Working'!A83,Refinance_Calculator!$C$29,Refinance_Calculator!$C$23,0,0)))</f>
        <v>21.92408967028107</v>
      </c>
      <c r="F83" s="3">
        <f t="shared" si="18"/>
        <v>13579.773730856077</v>
      </c>
      <c r="G83" s="5">
        <f t="shared" si="19"/>
        <v>21.92408967028107</v>
      </c>
      <c r="H83" s="36">
        <f t="shared" si="20"/>
        <v>68.008489102631756</v>
      </c>
      <c r="I83" s="37">
        <f ca="1">+IF(A83 &lt;= $L$2, (Full_Report!C163-'Internal Working'!C83),"")</f>
        <v>35.533431576106594</v>
      </c>
      <c r="J83" s="37">
        <f t="shared" ca="1" si="14"/>
        <v>2771.6076629363115</v>
      </c>
      <c r="K83" s="35" t="str">
        <f t="shared" ca="1" si="15"/>
        <v>0</v>
      </c>
      <c r="L83" s="35">
        <f t="shared" ca="1" si="13"/>
        <v>2771.6076629363115</v>
      </c>
      <c r="M83" s="2"/>
    </row>
    <row r="84" spans="1:13" x14ac:dyDescent="0.25">
      <c r="A84" s="1">
        <f>IF(OR(A83="",F83=0,A83=Refinance_Calculator!$C$29),"",A83+1)</f>
        <v>79</v>
      </c>
      <c r="B84" s="3">
        <f t="shared" si="16"/>
        <v>13579.773730856077</v>
      </c>
      <c r="C84" s="3">
        <f>IF(A84="","",(-PMT(Refinance_Calculator!$C$26/12,Refinance_Calculator!$C$29,Refinance_Calculator!$C$23,0,0)))</f>
        <v>89.932578772912834</v>
      </c>
      <c r="D84" s="3">
        <f t="shared" si="17"/>
        <v>67.898868654280363</v>
      </c>
      <c r="E84" s="3">
        <f>IF(A84="","",(-PPMT(Refinance_Calculator!$C$26/12,'Internal Working'!A84,Refinance_Calculator!$C$29,Refinance_Calculator!$C$23,0,0)))</f>
        <v>22.03371011863247</v>
      </c>
      <c r="F84" s="3">
        <f t="shared" si="18"/>
        <v>13557.740020737445</v>
      </c>
      <c r="G84" s="5">
        <f t="shared" si="19"/>
        <v>22.03371011863247</v>
      </c>
      <c r="H84" s="36">
        <f t="shared" si="20"/>
        <v>67.898868654280363</v>
      </c>
      <c r="I84" s="37">
        <f ca="1">+IF(A84 &lt;= $L$2, (Full_Report!C164-'Internal Working'!C84),"")</f>
        <v>35.533431576106594</v>
      </c>
      <c r="J84" s="37">
        <f t="shared" ca="1" si="14"/>
        <v>2807.141094512418</v>
      </c>
      <c r="K84" s="35" t="str">
        <f t="shared" ca="1" si="15"/>
        <v>0</v>
      </c>
      <c r="L84" s="35">
        <f t="shared" ca="1" si="13"/>
        <v>2807.141094512418</v>
      </c>
      <c r="M84" s="2"/>
    </row>
    <row r="85" spans="1:13" x14ac:dyDescent="0.25">
      <c r="A85" s="1">
        <f>IF(OR(A84="",F84=0,A84=Refinance_Calculator!$C$29),"",A84+1)</f>
        <v>80</v>
      </c>
      <c r="B85" s="3">
        <f t="shared" si="16"/>
        <v>13557.740020737445</v>
      </c>
      <c r="C85" s="3">
        <f>IF(A85="","",(-PMT(Refinance_Calculator!$C$26/12,Refinance_Calculator!$C$29,Refinance_Calculator!$C$23,0,0)))</f>
        <v>89.932578772912834</v>
      </c>
      <c r="D85" s="3">
        <f t="shared" si="17"/>
        <v>67.788700103687191</v>
      </c>
      <c r="E85" s="3">
        <f>IF(A85="","",(-PPMT(Refinance_Calculator!$C$26/12,'Internal Working'!A85,Refinance_Calculator!$C$29,Refinance_Calculator!$C$23,0,0)))</f>
        <v>22.143878669225639</v>
      </c>
      <c r="F85" s="3">
        <f t="shared" si="18"/>
        <v>13535.59614206822</v>
      </c>
      <c r="G85" s="5">
        <f t="shared" si="19"/>
        <v>22.143878669225639</v>
      </c>
      <c r="H85" s="36">
        <f t="shared" si="20"/>
        <v>67.788700103687191</v>
      </c>
      <c r="I85" s="37">
        <f ca="1">+IF(A85 &lt;= $L$2, (Full_Report!C165-'Internal Working'!C85),"")</f>
        <v>35.533431576106594</v>
      </c>
      <c r="J85" s="37">
        <f t="shared" ca="1" si="14"/>
        <v>2842.6745260885245</v>
      </c>
      <c r="K85" s="35" t="str">
        <f t="shared" ca="1" si="15"/>
        <v>0</v>
      </c>
      <c r="L85" s="35">
        <f t="shared" ca="1" si="13"/>
        <v>2842.6745260885245</v>
      </c>
      <c r="M85" s="2"/>
    </row>
    <row r="86" spans="1:13" x14ac:dyDescent="0.25">
      <c r="A86" s="1">
        <f>IF(OR(A85="",F85=0,A85=Refinance_Calculator!$C$29),"",A85+1)</f>
        <v>81</v>
      </c>
      <c r="B86" s="3">
        <f t="shared" si="16"/>
        <v>13535.59614206822</v>
      </c>
      <c r="C86" s="3">
        <f>IF(A86="","",(-PMT(Refinance_Calculator!$C$26/12,Refinance_Calculator!$C$29,Refinance_Calculator!$C$23,0,0)))</f>
        <v>89.932578772912834</v>
      </c>
      <c r="D86" s="3">
        <f t="shared" si="17"/>
        <v>67.677980710341075</v>
      </c>
      <c r="E86" s="3">
        <f>IF(A86="","",(-PPMT(Refinance_Calculator!$C$26/12,'Internal Working'!A86,Refinance_Calculator!$C$29,Refinance_Calculator!$C$23,0,0)))</f>
        <v>22.254598062571763</v>
      </c>
      <c r="F86" s="3">
        <f t="shared" si="18"/>
        <v>13513.341544005649</v>
      </c>
      <c r="G86" s="5">
        <f t="shared" si="19"/>
        <v>22.254598062571763</v>
      </c>
      <c r="H86" s="36">
        <f t="shared" si="20"/>
        <v>67.677980710341075</v>
      </c>
      <c r="I86" s="37">
        <f ca="1">+IF(A86 &lt;= $L$2, (Full_Report!C166-'Internal Working'!C86),"")</f>
        <v>35.533431576106594</v>
      </c>
      <c r="J86" s="37">
        <f t="shared" ca="1" si="14"/>
        <v>2878.2079576646311</v>
      </c>
      <c r="K86" s="35" t="str">
        <f t="shared" ca="1" si="15"/>
        <v>0</v>
      </c>
      <c r="L86" s="35">
        <f t="shared" ca="1" si="13"/>
        <v>2878.2079576646311</v>
      </c>
      <c r="M86" s="2"/>
    </row>
    <row r="87" spans="1:13" x14ac:dyDescent="0.25">
      <c r="A87" s="1">
        <f>IF(OR(A86="",F86=0,A86=Refinance_Calculator!$C$29),"",A86+1)</f>
        <v>82</v>
      </c>
      <c r="B87" s="3">
        <f t="shared" si="16"/>
        <v>13513.341544005649</v>
      </c>
      <c r="C87" s="3">
        <f>IF(A87="","",(-PMT(Refinance_Calculator!$C$26/12,Refinance_Calculator!$C$29,Refinance_Calculator!$C$23,0,0)))</f>
        <v>89.932578772912834</v>
      </c>
      <c r="D87" s="3">
        <f t="shared" si="17"/>
        <v>67.566707720028219</v>
      </c>
      <c r="E87" s="3">
        <f>IF(A87="","",(-PPMT(Refinance_Calculator!$C$26/12,'Internal Working'!A87,Refinance_Calculator!$C$29,Refinance_Calculator!$C$23,0,0)))</f>
        <v>22.365871052884618</v>
      </c>
      <c r="F87" s="3">
        <f t="shared" si="18"/>
        <v>13490.975672952763</v>
      </c>
      <c r="G87" s="5">
        <f t="shared" si="19"/>
        <v>22.365871052884618</v>
      </c>
      <c r="H87" s="36">
        <f t="shared" si="20"/>
        <v>67.566707720028219</v>
      </c>
      <c r="I87" s="37">
        <f ca="1">+IF(A87 &lt;= $L$2, (Full_Report!C167-'Internal Working'!C87),"")</f>
        <v>35.533431576106594</v>
      </c>
      <c r="J87" s="37">
        <f t="shared" ca="1" si="14"/>
        <v>2913.7413892407376</v>
      </c>
      <c r="K87" s="35" t="str">
        <f t="shared" ca="1" si="15"/>
        <v>0</v>
      </c>
      <c r="L87" s="35">
        <f t="shared" ca="1" si="13"/>
        <v>2913.7413892407376</v>
      </c>
      <c r="M87" s="2"/>
    </row>
    <row r="88" spans="1:13" x14ac:dyDescent="0.25">
      <c r="A88" s="1">
        <f>IF(OR(A87="",F87=0,A87=Refinance_Calculator!$C$29),"",A87+1)</f>
        <v>83</v>
      </c>
      <c r="B88" s="3">
        <f t="shared" si="16"/>
        <v>13490.975672952763</v>
      </c>
      <c r="C88" s="3">
        <f>IF(A88="","",(-PMT(Refinance_Calculator!$C$26/12,Refinance_Calculator!$C$29,Refinance_Calculator!$C$23,0,0)))</f>
        <v>89.932578772912834</v>
      </c>
      <c r="D88" s="3">
        <f t="shared" si="17"/>
        <v>67.454878364763786</v>
      </c>
      <c r="E88" s="3">
        <f>IF(A88="","",(-PPMT(Refinance_Calculator!$C$26/12,'Internal Working'!A88,Refinance_Calculator!$C$29,Refinance_Calculator!$C$23,0,0)))</f>
        <v>22.477700408149044</v>
      </c>
      <c r="F88" s="3">
        <f t="shared" si="18"/>
        <v>13468.497972544614</v>
      </c>
      <c r="G88" s="5">
        <f t="shared" si="19"/>
        <v>22.477700408149044</v>
      </c>
      <c r="H88" s="36">
        <f t="shared" si="20"/>
        <v>67.454878364763786</v>
      </c>
      <c r="I88" s="37">
        <f ca="1">+IF(A88 &lt;= $L$2, (Full_Report!C168-'Internal Working'!C88),"")</f>
        <v>35.533431576106594</v>
      </c>
      <c r="J88" s="37">
        <f t="shared" ca="1" si="14"/>
        <v>2949.2748208168441</v>
      </c>
      <c r="K88" s="35" t="str">
        <f t="shared" ca="1" si="15"/>
        <v>0</v>
      </c>
      <c r="L88" s="35">
        <f t="shared" ca="1" si="13"/>
        <v>2949.2748208168441</v>
      </c>
      <c r="M88" s="2"/>
    </row>
    <row r="89" spans="1:13" x14ac:dyDescent="0.25">
      <c r="A89" s="1">
        <f>IF(OR(A88="",F88=0,A88=Refinance_Calculator!$C$29),"",A88+1)</f>
        <v>84</v>
      </c>
      <c r="B89" s="3">
        <f t="shared" si="16"/>
        <v>13468.497972544614</v>
      </c>
      <c r="C89" s="3">
        <f>IF(A89="","",(-PMT(Refinance_Calculator!$C$26/12,Refinance_Calculator!$C$29,Refinance_Calculator!$C$23,0,0)))</f>
        <v>89.932578772912834</v>
      </c>
      <c r="D89" s="3">
        <f t="shared" si="17"/>
        <v>67.342489862723042</v>
      </c>
      <c r="E89" s="3">
        <f>IF(A89="","",(-PPMT(Refinance_Calculator!$C$26/12,'Internal Working'!A89,Refinance_Calculator!$C$29,Refinance_Calculator!$C$23,0,0)))</f>
        <v>22.590088910189788</v>
      </c>
      <c r="F89" s="3">
        <f t="shared" si="18"/>
        <v>13445.907883634423</v>
      </c>
      <c r="G89" s="5">
        <f t="shared" si="19"/>
        <v>22.590088910189788</v>
      </c>
      <c r="H89" s="36">
        <f t="shared" si="20"/>
        <v>67.342489862723042</v>
      </c>
      <c r="I89" s="37">
        <f ca="1">+IF(A89 &lt;= $L$2, (Full_Report!C169-'Internal Working'!C89),"")</f>
        <v>35.533431576106594</v>
      </c>
      <c r="J89" s="37">
        <f t="shared" ca="1" si="14"/>
        <v>2984.8082523929506</v>
      </c>
      <c r="K89" s="35" t="str">
        <f t="shared" ca="1" si="15"/>
        <v>0</v>
      </c>
      <c r="L89" s="35">
        <f t="shared" ca="1" si="13"/>
        <v>2984.8082523929506</v>
      </c>
      <c r="M89" s="2"/>
    </row>
    <row r="90" spans="1:13" x14ac:dyDescent="0.25">
      <c r="A90" s="1">
        <f>IF(OR(A89="",F89=0,A89=Refinance_Calculator!$C$29),"",A89+1)</f>
        <v>85</v>
      </c>
      <c r="B90" s="3">
        <f t="shared" si="16"/>
        <v>13445.907883634423</v>
      </c>
      <c r="C90" s="3">
        <f>IF(A90="","",(-PMT(Refinance_Calculator!$C$26/12,Refinance_Calculator!$C$29,Refinance_Calculator!$C$23,0,0)))</f>
        <v>89.932578772912834</v>
      </c>
      <c r="D90" s="3">
        <f t="shared" si="17"/>
        <v>67.229539418172095</v>
      </c>
      <c r="E90" s="3">
        <f>IF(A90="","",(-PPMT(Refinance_Calculator!$C$26/12,'Internal Working'!A90,Refinance_Calculator!$C$29,Refinance_Calculator!$C$23,0,0)))</f>
        <v>22.703039354740735</v>
      </c>
      <c r="F90" s="3">
        <f t="shared" si="18"/>
        <v>13423.204844279682</v>
      </c>
      <c r="G90" s="5">
        <f t="shared" si="19"/>
        <v>22.703039354740735</v>
      </c>
      <c r="H90" s="36">
        <f t="shared" si="20"/>
        <v>67.229539418172095</v>
      </c>
      <c r="I90" s="37">
        <f ca="1">+IF(A90 &lt;= $L$2, (Full_Report!C170-'Internal Working'!C90),"")</f>
        <v>35.533431576106594</v>
      </c>
      <c r="J90" s="37">
        <f t="shared" ca="1" si="14"/>
        <v>3020.3416839690572</v>
      </c>
      <c r="K90" s="35" t="str">
        <f t="shared" ca="1" si="15"/>
        <v>0</v>
      </c>
      <c r="L90" s="35">
        <f t="shared" ca="1" si="13"/>
        <v>3020.3416839690572</v>
      </c>
      <c r="M90" s="2"/>
    </row>
    <row r="91" spans="1:13" x14ac:dyDescent="0.25">
      <c r="A91" s="1">
        <f>IF(OR(A90="",F90=0,A90=Refinance_Calculator!$C$29),"",A90+1)</f>
        <v>86</v>
      </c>
      <c r="B91" s="3">
        <f t="shared" si="16"/>
        <v>13423.204844279682</v>
      </c>
      <c r="C91" s="3">
        <f>IF(A91="","",(-PMT(Refinance_Calculator!$C$26/12,Refinance_Calculator!$C$29,Refinance_Calculator!$C$23,0,0)))</f>
        <v>89.932578772912834</v>
      </c>
      <c r="D91" s="3">
        <f t="shared" si="17"/>
        <v>67.116024221398391</v>
      </c>
      <c r="E91" s="3">
        <f>IF(A91="","",(-PPMT(Refinance_Calculator!$C$26/12,'Internal Working'!A91,Refinance_Calculator!$C$29,Refinance_Calculator!$C$23,0,0)))</f>
        <v>22.816554551514436</v>
      </c>
      <c r="F91" s="3">
        <f t="shared" si="18"/>
        <v>13400.388289728167</v>
      </c>
      <c r="G91" s="5">
        <f t="shared" si="19"/>
        <v>22.816554551514436</v>
      </c>
      <c r="H91" s="36">
        <f t="shared" si="20"/>
        <v>67.116024221398391</v>
      </c>
      <c r="I91" s="37">
        <f ca="1">+IF(A91 &lt;= $L$2, (Full_Report!C171-'Internal Working'!C91),"")</f>
        <v>35.533431576106594</v>
      </c>
      <c r="J91" s="37">
        <f t="shared" ca="1" si="14"/>
        <v>3055.8751155451637</v>
      </c>
      <c r="K91" s="35" t="str">
        <f t="shared" ca="1" si="15"/>
        <v>0</v>
      </c>
      <c r="L91" s="35">
        <f t="shared" ca="1" si="13"/>
        <v>3055.8751155451637</v>
      </c>
      <c r="M91" s="2"/>
    </row>
    <row r="92" spans="1:13" x14ac:dyDescent="0.25">
      <c r="A92" s="1">
        <f>IF(OR(A91="",F91=0,A91=Refinance_Calculator!$C$29),"",A91+1)</f>
        <v>87</v>
      </c>
      <c r="B92" s="3">
        <f t="shared" si="16"/>
        <v>13400.388289728167</v>
      </c>
      <c r="C92" s="3">
        <f>IF(A92="","",(-PMT(Refinance_Calculator!$C$26/12,Refinance_Calculator!$C$29,Refinance_Calculator!$C$23,0,0)))</f>
        <v>89.932578772912834</v>
      </c>
      <c r="D92" s="3">
        <f t="shared" si="17"/>
        <v>67.001941448640821</v>
      </c>
      <c r="E92" s="3">
        <f>IF(A92="","",(-PPMT(Refinance_Calculator!$C$26/12,'Internal Working'!A92,Refinance_Calculator!$C$29,Refinance_Calculator!$C$23,0,0)))</f>
        <v>22.930637324272016</v>
      </c>
      <c r="F92" s="3">
        <f t="shared" si="18"/>
        <v>13377.457652403895</v>
      </c>
      <c r="G92" s="5">
        <f t="shared" si="19"/>
        <v>22.930637324272016</v>
      </c>
      <c r="H92" s="36">
        <f t="shared" si="20"/>
        <v>67.001941448640821</v>
      </c>
      <c r="I92" s="37">
        <f ca="1">+IF(A92 &lt;= $L$2, (Full_Report!C172-'Internal Working'!C92),"")</f>
        <v>35.533431576106594</v>
      </c>
      <c r="J92" s="37">
        <f t="shared" ca="1" si="14"/>
        <v>3091.4085471212702</v>
      </c>
      <c r="K92" s="35" t="str">
        <f t="shared" ca="1" si="15"/>
        <v>0</v>
      </c>
      <c r="L92" s="35">
        <f t="shared" ca="1" si="13"/>
        <v>3091.4085471212702</v>
      </c>
      <c r="M92" s="2"/>
    </row>
    <row r="93" spans="1:13" x14ac:dyDescent="0.25">
      <c r="A93" s="1">
        <f>IF(OR(A92="",F92=0,A92=Refinance_Calculator!$C$29),"",A92+1)</f>
        <v>88</v>
      </c>
      <c r="B93" s="3">
        <f t="shared" si="16"/>
        <v>13377.457652403895</v>
      </c>
      <c r="C93" s="3">
        <f>IF(A93="","",(-PMT(Refinance_Calculator!$C$26/12,Refinance_Calculator!$C$29,Refinance_Calculator!$C$23,0,0)))</f>
        <v>89.932578772912834</v>
      </c>
      <c r="D93" s="3">
        <f t="shared" si="17"/>
        <v>66.887288262019467</v>
      </c>
      <c r="E93" s="3">
        <f>IF(A93="","",(-PPMT(Refinance_Calculator!$C$26/12,'Internal Working'!A93,Refinance_Calculator!$C$29,Refinance_Calculator!$C$23,0,0)))</f>
        <v>23.045290510893373</v>
      </c>
      <c r="F93" s="3">
        <f t="shared" si="18"/>
        <v>13354.412361893001</v>
      </c>
      <c r="G93" s="5">
        <f t="shared" si="19"/>
        <v>23.045290510893373</v>
      </c>
      <c r="H93" s="36">
        <f t="shared" si="20"/>
        <v>66.887288262019467</v>
      </c>
      <c r="I93" s="37">
        <f ca="1">+IF(A93 &lt;= $L$2, (Full_Report!C173-'Internal Working'!C93),"")</f>
        <v>35.533431576106594</v>
      </c>
      <c r="J93" s="37">
        <f t="shared" ca="1" si="14"/>
        <v>3126.9419786973767</v>
      </c>
      <c r="K93" s="35" t="str">
        <f t="shared" ca="1" si="15"/>
        <v>0</v>
      </c>
      <c r="L93" s="35">
        <f t="shared" ca="1" si="13"/>
        <v>3126.9419786973767</v>
      </c>
      <c r="M93" s="2"/>
    </row>
    <row r="94" spans="1:13" x14ac:dyDescent="0.25">
      <c r="A94" s="1">
        <f>IF(OR(A93="",F93=0,A93=Refinance_Calculator!$C$29),"",A93+1)</f>
        <v>89</v>
      </c>
      <c r="B94" s="3">
        <f t="shared" si="16"/>
        <v>13354.412361893001</v>
      </c>
      <c r="C94" s="3">
        <f>IF(A94="","",(-PMT(Refinance_Calculator!$C$26/12,Refinance_Calculator!$C$29,Refinance_Calculator!$C$23,0,0)))</f>
        <v>89.932578772912834</v>
      </c>
      <c r="D94" s="3">
        <f t="shared" si="17"/>
        <v>66.772061809464986</v>
      </c>
      <c r="E94" s="3">
        <f>IF(A94="","",(-PPMT(Refinance_Calculator!$C$26/12,'Internal Working'!A94,Refinance_Calculator!$C$29,Refinance_Calculator!$C$23,0,0)))</f>
        <v>23.16051696344784</v>
      </c>
      <c r="F94" s="3">
        <f t="shared" si="18"/>
        <v>13331.251844929553</v>
      </c>
      <c r="G94" s="5">
        <f t="shared" si="19"/>
        <v>23.16051696344784</v>
      </c>
      <c r="H94" s="36">
        <f t="shared" si="20"/>
        <v>66.772061809464986</v>
      </c>
      <c r="I94" s="37">
        <f ca="1">+IF(A94 &lt;= $L$2, (Full_Report!C174-'Internal Working'!C94),"")</f>
        <v>35.533431576106594</v>
      </c>
      <c r="J94" s="37">
        <f t="shared" ca="1" si="14"/>
        <v>3162.4754102734832</v>
      </c>
      <c r="K94" s="35" t="str">
        <f t="shared" ca="1" si="15"/>
        <v>0</v>
      </c>
      <c r="L94" s="35">
        <f t="shared" ca="1" si="13"/>
        <v>3162.4754102734832</v>
      </c>
      <c r="M94" s="2"/>
    </row>
    <row r="95" spans="1:13" x14ac:dyDescent="0.25">
      <c r="A95" s="1">
        <f>IF(OR(A94="",F94=0,A94=Refinance_Calculator!$C$29),"",A94+1)</f>
        <v>90</v>
      </c>
      <c r="B95" s="3">
        <f t="shared" si="16"/>
        <v>13331.251844929553</v>
      </c>
      <c r="C95" s="3">
        <f>IF(A95="","",(-PMT(Refinance_Calculator!$C$26/12,Refinance_Calculator!$C$29,Refinance_Calculator!$C$23,0,0)))</f>
        <v>89.932578772912834</v>
      </c>
      <c r="D95" s="3">
        <f t="shared" si="17"/>
        <v>66.656259224647755</v>
      </c>
      <c r="E95" s="3">
        <f>IF(A95="","",(-PPMT(Refinance_Calculator!$C$26/12,'Internal Working'!A95,Refinance_Calculator!$C$29,Refinance_Calculator!$C$23,0,0)))</f>
        <v>23.276319548265079</v>
      </c>
      <c r="F95" s="3">
        <f t="shared" si="18"/>
        <v>13307.975525381287</v>
      </c>
      <c r="G95" s="5">
        <f t="shared" si="19"/>
        <v>23.276319548265079</v>
      </c>
      <c r="H95" s="36">
        <f t="shared" si="20"/>
        <v>66.656259224647755</v>
      </c>
      <c r="I95" s="37">
        <f ca="1">+IF(A95 &lt;= $L$2, (Full_Report!C175-'Internal Working'!C95),"")</f>
        <v>35.533431576106594</v>
      </c>
      <c r="J95" s="37">
        <f t="shared" ca="1" si="14"/>
        <v>3198.0088418495898</v>
      </c>
      <c r="K95" s="35" t="str">
        <f t="shared" ca="1" si="15"/>
        <v>0</v>
      </c>
      <c r="L95" s="35">
        <f t="shared" ca="1" si="13"/>
        <v>3198.0088418495898</v>
      </c>
      <c r="M95" s="2"/>
    </row>
    <row r="96" spans="1:13" x14ac:dyDescent="0.25">
      <c r="A96" s="1">
        <f>IF(OR(A95="",F95=0,A95=Refinance_Calculator!$C$29),"",A95+1)</f>
        <v>91</v>
      </c>
      <c r="B96" s="3">
        <f t="shared" si="16"/>
        <v>13307.975525381287</v>
      </c>
      <c r="C96" s="3">
        <f>IF(A96="","",(-PMT(Refinance_Calculator!$C$26/12,Refinance_Calculator!$C$29,Refinance_Calculator!$C$23,0,0)))</f>
        <v>89.932578772912834</v>
      </c>
      <c r="D96" s="3">
        <f t="shared" si="17"/>
        <v>66.539877626906417</v>
      </c>
      <c r="E96" s="3">
        <f>IF(A96="","",(-PPMT(Refinance_Calculator!$C$26/12,'Internal Working'!A96,Refinance_Calculator!$C$29,Refinance_Calculator!$C$23,0,0)))</f>
        <v>23.392701146006413</v>
      </c>
      <c r="F96" s="3">
        <f t="shared" si="18"/>
        <v>13284.58282423528</v>
      </c>
      <c r="G96" s="5">
        <f t="shared" si="19"/>
        <v>23.392701146006413</v>
      </c>
      <c r="H96" s="36">
        <f t="shared" si="20"/>
        <v>66.539877626906417</v>
      </c>
      <c r="I96" s="37">
        <f ca="1">+IF(A96 &lt;= $L$2, (Full_Report!C176-'Internal Working'!C96),"")</f>
        <v>35.533431576106594</v>
      </c>
      <c r="J96" s="37">
        <f t="shared" ca="1" si="14"/>
        <v>3233.5422734256963</v>
      </c>
      <c r="K96" s="35" t="str">
        <f t="shared" ca="1" si="15"/>
        <v>0</v>
      </c>
      <c r="L96" s="35">
        <f t="shared" ca="1" si="13"/>
        <v>3233.5422734256963</v>
      </c>
      <c r="M96" s="2"/>
    </row>
    <row r="97" spans="1:13" x14ac:dyDescent="0.25">
      <c r="A97" s="1">
        <f>IF(OR(A96="",F96=0,A96=Refinance_Calculator!$C$29),"",A96+1)</f>
        <v>92</v>
      </c>
      <c r="B97" s="3">
        <f t="shared" si="16"/>
        <v>13284.58282423528</v>
      </c>
      <c r="C97" s="3">
        <f>IF(A97="","",(-PMT(Refinance_Calculator!$C$26/12,Refinance_Calculator!$C$29,Refinance_Calculator!$C$23,0,0)))</f>
        <v>89.932578772912834</v>
      </c>
      <c r="D97" s="3">
        <f t="shared" si="17"/>
        <v>66.42291412117639</v>
      </c>
      <c r="E97" s="3">
        <f>IF(A97="","",(-PPMT(Refinance_Calculator!$C$26/12,'Internal Working'!A97,Refinance_Calculator!$C$29,Refinance_Calculator!$C$23,0,0)))</f>
        <v>23.50966465173644</v>
      </c>
      <c r="F97" s="3">
        <f t="shared" si="18"/>
        <v>13261.073159583544</v>
      </c>
      <c r="G97" s="5">
        <f t="shared" si="19"/>
        <v>23.50966465173644</v>
      </c>
      <c r="H97" s="36">
        <f t="shared" si="20"/>
        <v>66.42291412117639</v>
      </c>
      <c r="I97" s="37">
        <f ca="1">+IF(A97 &lt;= $L$2, (Full_Report!C177-'Internal Working'!C97),"")</f>
        <v>35.533431576106594</v>
      </c>
      <c r="J97" s="37">
        <f t="shared" ca="1" si="14"/>
        <v>3269.0757050018028</v>
      </c>
      <c r="K97" s="35" t="str">
        <f t="shared" ca="1" si="15"/>
        <v>0</v>
      </c>
      <c r="L97" s="35">
        <f t="shared" ca="1" si="13"/>
        <v>3269.0757050018028</v>
      </c>
      <c r="M97" s="2"/>
    </row>
    <row r="98" spans="1:13" x14ac:dyDescent="0.25">
      <c r="A98" s="1">
        <f>IF(OR(A97="",F97=0,A97=Refinance_Calculator!$C$29),"",A97+1)</f>
        <v>93</v>
      </c>
      <c r="B98" s="3">
        <f t="shared" si="16"/>
        <v>13261.073159583544</v>
      </c>
      <c r="C98" s="3">
        <f>IF(A98="","",(-PMT(Refinance_Calculator!$C$26/12,Refinance_Calculator!$C$29,Refinance_Calculator!$C$23,0,0)))</f>
        <v>89.932578772912834</v>
      </c>
      <c r="D98" s="3">
        <f t="shared" si="17"/>
        <v>66.305365797917716</v>
      </c>
      <c r="E98" s="3">
        <f>IF(A98="","",(-PPMT(Refinance_Calculator!$C$26/12,'Internal Working'!A98,Refinance_Calculator!$C$29,Refinance_Calculator!$C$23,0,0)))</f>
        <v>23.627212974995125</v>
      </c>
      <c r="F98" s="3">
        <f t="shared" si="18"/>
        <v>13237.445946608548</v>
      </c>
      <c r="G98" s="5">
        <f t="shared" si="19"/>
        <v>23.627212974995125</v>
      </c>
      <c r="H98" s="36">
        <f t="shared" si="20"/>
        <v>66.305365797917716</v>
      </c>
      <c r="I98" s="37">
        <f ca="1">+IF(A98 &lt;= $L$2, (Full_Report!C178-'Internal Working'!C98),"")</f>
        <v>35.533431576106594</v>
      </c>
      <c r="J98" s="37">
        <f t="shared" ca="1" si="14"/>
        <v>3304.6091365779093</v>
      </c>
      <c r="K98" s="35" t="str">
        <f t="shared" ca="1" si="15"/>
        <v>0</v>
      </c>
      <c r="L98" s="35">
        <f t="shared" ca="1" si="13"/>
        <v>3304.6091365779093</v>
      </c>
      <c r="M98" s="2"/>
    </row>
    <row r="99" spans="1:13" x14ac:dyDescent="0.25">
      <c r="A99" s="1">
        <f>IF(OR(A98="",F98=0,A98=Refinance_Calculator!$C$29),"",A98+1)</f>
        <v>94</v>
      </c>
      <c r="B99" s="3">
        <f t="shared" si="16"/>
        <v>13237.445946608548</v>
      </c>
      <c r="C99" s="3">
        <f>IF(A99="","",(-PMT(Refinance_Calculator!$C$26/12,Refinance_Calculator!$C$29,Refinance_Calculator!$C$23,0,0)))</f>
        <v>89.932578772912834</v>
      </c>
      <c r="D99" s="3">
        <f t="shared" si="17"/>
        <v>66.187229733042727</v>
      </c>
      <c r="E99" s="3">
        <f>IF(A99="","",(-PPMT(Refinance_Calculator!$C$26/12,'Internal Working'!A99,Refinance_Calculator!$C$29,Refinance_Calculator!$C$23,0,0)))</f>
        <v>23.745349039870099</v>
      </c>
      <c r="F99" s="3">
        <f t="shared" si="18"/>
        <v>13213.700597568679</v>
      </c>
      <c r="G99" s="5">
        <f t="shared" si="19"/>
        <v>23.745349039870099</v>
      </c>
      <c r="H99" s="36">
        <f t="shared" si="20"/>
        <v>66.187229733042727</v>
      </c>
      <c r="I99" s="37">
        <f ca="1">+IF(A99 &lt;= $L$2, (Full_Report!C179-'Internal Working'!C99),"")</f>
        <v>35.533431576106594</v>
      </c>
      <c r="J99" s="37">
        <f t="shared" ca="1" si="14"/>
        <v>3340.1425681540159</v>
      </c>
      <c r="K99" s="35" t="str">
        <f t="shared" ca="1" si="15"/>
        <v>0</v>
      </c>
      <c r="L99" s="35">
        <f t="shared" ca="1" si="13"/>
        <v>3340.1425681540159</v>
      </c>
      <c r="M99" s="2"/>
    </row>
    <row r="100" spans="1:13" x14ac:dyDescent="0.25">
      <c r="A100" s="1">
        <f>IF(OR(A99="",F99=0,A99=Refinance_Calculator!$C$29),"",A99+1)</f>
        <v>95</v>
      </c>
      <c r="B100" s="3">
        <f t="shared" si="16"/>
        <v>13213.700597568679</v>
      </c>
      <c r="C100" s="3">
        <f>IF(A100="","",(-PMT(Refinance_Calculator!$C$26/12,Refinance_Calculator!$C$29,Refinance_Calculator!$C$23,0,0)))</f>
        <v>89.932578772912834</v>
      </c>
      <c r="D100" s="3">
        <f t="shared" si="17"/>
        <v>66.068502987843388</v>
      </c>
      <c r="E100" s="3">
        <f>IF(A100="","",(-PPMT(Refinance_Calculator!$C$26/12,'Internal Working'!A100,Refinance_Calculator!$C$29,Refinance_Calculator!$C$23,0,0)))</f>
        <v>23.864075785069442</v>
      </c>
      <c r="F100" s="3">
        <f t="shared" si="18"/>
        <v>13189.836521783609</v>
      </c>
      <c r="G100" s="5">
        <f t="shared" si="19"/>
        <v>23.864075785069442</v>
      </c>
      <c r="H100" s="36">
        <f t="shared" si="20"/>
        <v>66.068502987843388</v>
      </c>
      <c r="I100" s="37">
        <f ca="1">+IF(A100 &lt;= $L$2, (Full_Report!C180-'Internal Working'!C100),"")</f>
        <v>35.533431576106594</v>
      </c>
      <c r="J100" s="37">
        <f t="shared" ca="1" si="14"/>
        <v>3375.6759997301224</v>
      </c>
      <c r="K100" s="35" t="str">
        <f t="shared" ca="1" si="15"/>
        <v>0</v>
      </c>
      <c r="L100" s="35">
        <f t="shared" ca="1" si="13"/>
        <v>3375.6759997301224</v>
      </c>
      <c r="M100" s="2"/>
    </row>
    <row r="101" spans="1:13" x14ac:dyDescent="0.25">
      <c r="A101" s="1">
        <f>IF(OR(A100="",F100=0,A100=Refinance_Calculator!$C$29),"",A100+1)</f>
        <v>96</v>
      </c>
      <c r="B101" s="3">
        <f t="shared" si="16"/>
        <v>13189.836521783609</v>
      </c>
      <c r="C101" s="3">
        <f>IF(A101="","",(-PMT(Refinance_Calculator!$C$26/12,Refinance_Calculator!$C$29,Refinance_Calculator!$C$23,0,0)))</f>
        <v>89.932578772912834</v>
      </c>
      <c r="D101" s="3">
        <f t="shared" si="17"/>
        <v>65.949182608918036</v>
      </c>
      <c r="E101" s="3">
        <f>IF(A101="","",(-PPMT(Refinance_Calculator!$C$26/12,'Internal Working'!A101,Refinance_Calculator!$C$29,Refinance_Calculator!$C$23,0,0)))</f>
        <v>23.983396163994794</v>
      </c>
      <c r="F101" s="3">
        <f t="shared" si="18"/>
        <v>13165.853125619615</v>
      </c>
      <c r="G101" s="5">
        <f t="shared" si="19"/>
        <v>23.983396163994794</v>
      </c>
      <c r="H101" s="36">
        <f t="shared" si="20"/>
        <v>65.949182608918036</v>
      </c>
      <c r="I101" s="37">
        <f ca="1">+IF(A101 &lt;= $L$2, (Full_Report!C181-'Internal Working'!C101),"")</f>
        <v>35.533431576106594</v>
      </c>
      <c r="J101" s="37">
        <f t="shared" ca="1" si="14"/>
        <v>3411.2094313062289</v>
      </c>
      <c r="K101" s="35" t="str">
        <f t="shared" ca="1" si="15"/>
        <v>0</v>
      </c>
      <c r="L101" s="35">
        <f t="shared" ca="1" si="13"/>
        <v>3411.2094313062289</v>
      </c>
      <c r="M101" s="2"/>
    </row>
    <row r="102" spans="1:13" x14ac:dyDescent="0.25">
      <c r="A102" s="1">
        <f>IF(OR(A101="",F101=0,A101=Refinance_Calculator!$C$29),"",A101+1)</f>
        <v>97</v>
      </c>
      <c r="B102" s="3">
        <f t="shared" si="16"/>
        <v>13165.853125619615</v>
      </c>
      <c r="C102" s="3">
        <f>IF(A102="","",(-PMT(Refinance_Calculator!$C$26/12,Refinance_Calculator!$C$29,Refinance_Calculator!$C$23,0,0)))</f>
        <v>89.932578772912834</v>
      </c>
      <c r="D102" s="3">
        <f t="shared" si="17"/>
        <v>65.829265628098071</v>
      </c>
      <c r="E102" s="3">
        <f>IF(A102="","",(-PPMT(Refinance_Calculator!$C$26/12,'Internal Working'!A102,Refinance_Calculator!$C$29,Refinance_Calculator!$C$23,0,0)))</f>
        <v>24.103313144814766</v>
      </c>
      <c r="F102" s="3">
        <f t="shared" si="18"/>
        <v>13141.7498124748</v>
      </c>
      <c r="G102" s="5">
        <f t="shared" si="19"/>
        <v>24.103313144814766</v>
      </c>
      <c r="H102" s="36">
        <f t="shared" si="20"/>
        <v>65.829265628098071</v>
      </c>
      <c r="I102" s="37">
        <f ca="1">+IF(A102 &lt;= $L$2, (Full_Report!C182-'Internal Working'!C102),"")</f>
        <v>35.533431576106594</v>
      </c>
      <c r="J102" s="37">
        <f t="shared" ca="1" si="14"/>
        <v>3446.7428628823354</v>
      </c>
      <c r="K102" s="35" t="str">
        <f t="shared" ca="1" si="15"/>
        <v>0</v>
      </c>
      <c r="L102" s="35">
        <f t="shared" ca="1" si="13"/>
        <v>3446.7428628823354</v>
      </c>
      <c r="M102" s="2"/>
    </row>
    <row r="103" spans="1:13" x14ac:dyDescent="0.25">
      <c r="A103" s="1">
        <f>IF(OR(A102="",F102=0,A102=Refinance_Calculator!$C$29),"",A102+1)</f>
        <v>98</v>
      </c>
      <c r="B103" s="3">
        <f t="shared" si="16"/>
        <v>13141.7498124748</v>
      </c>
      <c r="C103" s="3">
        <f>IF(A103="","",(-PMT(Refinance_Calculator!$C$26/12,Refinance_Calculator!$C$29,Refinance_Calculator!$C$23,0,0)))</f>
        <v>89.932578772912834</v>
      </c>
      <c r="D103" s="3">
        <f t="shared" si="17"/>
        <v>65.708749062373982</v>
      </c>
      <c r="E103" s="3">
        <f>IF(A103="","",(-PPMT(Refinance_Calculator!$C$26/12,'Internal Working'!A103,Refinance_Calculator!$C$29,Refinance_Calculator!$C$23,0,0)))</f>
        <v>24.223829710538844</v>
      </c>
      <c r="F103" s="3">
        <f t="shared" si="18"/>
        <v>13117.52598276426</v>
      </c>
      <c r="G103" s="5">
        <f t="shared" si="19"/>
        <v>24.223829710538844</v>
      </c>
      <c r="H103" s="36">
        <f t="shared" si="20"/>
        <v>65.708749062373982</v>
      </c>
      <c r="I103" s="37">
        <f ca="1">+IF(A103 &lt;= $L$2, (Full_Report!C183-'Internal Working'!C103),"")</f>
        <v>35.533431576106594</v>
      </c>
      <c r="J103" s="37">
        <f t="shared" ca="1" si="14"/>
        <v>3482.276294458442</v>
      </c>
      <c r="K103" s="35" t="str">
        <f t="shared" ca="1" si="15"/>
        <v>0</v>
      </c>
      <c r="L103" s="35">
        <f t="shared" ca="1" si="13"/>
        <v>3482.276294458442</v>
      </c>
      <c r="M103" s="2"/>
    </row>
    <row r="104" spans="1:13" x14ac:dyDescent="0.25">
      <c r="A104" s="1">
        <f>IF(OR(A103="",F103=0,A103=Refinance_Calculator!$C$29),"",A103+1)</f>
        <v>99</v>
      </c>
      <c r="B104" s="3">
        <f t="shared" si="16"/>
        <v>13117.52598276426</v>
      </c>
      <c r="C104" s="3">
        <f>IF(A104="","",(-PMT(Refinance_Calculator!$C$26/12,Refinance_Calculator!$C$29,Refinance_Calculator!$C$23,0,0)))</f>
        <v>89.932578772912834</v>
      </c>
      <c r="D104" s="3">
        <f t="shared" si="17"/>
        <v>65.587629913821303</v>
      </c>
      <c r="E104" s="3">
        <f>IF(A104="","",(-PPMT(Refinance_Calculator!$C$26/12,'Internal Working'!A104,Refinance_Calculator!$C$29,Refinance_Calculator!$C$23,0,0)))</f>
        <v>24.344948859091534</v>
      </c>
      <c r="F104" s="3">
        <f t="shared" si="18"/>
        <v>13093.181033905168</v>
      </c>
      <c r="G104" s="5">
        <f t="shared" si="19"/>
        <v>24.344948859091534</v>
      </c>
      <c r="H104" s="36">
        <f t="shared" si="20"/>
        <v>65.587629913821303</v>
      </c>
      <c r="I104" s="37">
        <f ca="1">+IF(A104 &lt;= $L$2, (Full_Report!C184-'Internal Working'!C104),"")</f>
        <v>35.533431576106594</v>
      </c>
      <c r="J104" s="37">
        <f t="shared" ca="1" si="14"/>
        <v>3517.8097260345485</v>
      </c>
      <c r="K104" s="35" t="str">
        <f t="shared" ca="1" si="15"/>
        <v>0</v>
      </c>
      <c r="L104" s="35">
        <f t="shared" ca="1" si="13"/>
        <v>3517.8097260345485</v>
      </c>
      <c r="M104" s="2"/>
    </row>
    <row r="105" spans="1:13" x14ac:dyDescent="0.25">
      <c r="A105" s="1">
        <f>IF(OR(A104="",F104=0,A104=Refinance_Calculator!$C$29),"",A104+1)</f>
        <v>100</v>
      </c>
      <c r="B105" s="3">
        <f t="shared" si="16"/>
        <v>13093.181033905168</v>
      </c>
      <c r="C105" s="3">
        <f>IF(A105="","",(-PMT(Refinance_Calculator!$C$26/12,Refinance_Calculator!$C$29,Refinance_Calculator!$C$23,0,0)))</f>
        <v>89.932578772912834</v>
      </c>
      <c r="D105" s="3">
        <f t="shared" si="17"/>
        <v>65.46590516952584</v>
      </c>
      <c r="E105" s="3">
        <f>IF(A105="","",(-PPMT(Refinance_Calculator!$C$26/12,'Internal Working'!A105,Refinance_Calculator!$C$29,Refinance_Calculator!$C$23,0,0)))</f>
        <v>24.466673603386997</v>
      </c>
      <c r="F105" s="3">
        <f t="shared" si="18"/>
        <v>13068.714360301781</v>
      </c>
      <c r="G105" s="5">
        <f t="shared" si="19"/>
        <v>24.466673603386997</v>
      </c>
      <c r="H105" s="36">
        <f t="shared" si="20"/>
        <v>65.46590516952584</v>
      </c>
      <c r="I105" s="37">
        <f ca="1">+IF(A105 &lt;= $L$2, (Full_Report!C185-'Internal Working'!C105),"")</f>
        <v>35.533431576106594</v>
      </c>
      <c r="J105" s="37">
        <f t="shared" ca="1" si="14"/>
        <v>3553.343157610655</v>
      </c>
      <c r="K105" s="35" t="str">
        <f t="shared" ca="1" si="15"/>
        <v>0</v>
      </c>
      <c r="L105" s="35">
        <f t="shared" ca="1" si="13"/>
        <v>3553.343157610655</v>
      </c>
      <c r="M105" s="2"/>
    </row>
    <row r="106" spans="1:13" x14ac:dyDescent="0.25">
      <c r="A106" s="1">
        <f>IF(OR(A105="",F105=0,A105=Refinance_Calculator!$C$29),"",A105+1)</f>
        <v>101</v>
      </c>
      <c r="B106" s="3">
        <f t="shared" si="16"/>
        <v>13068.714360301781</v>
      </c>
      <c r="C106" s="3">
        <f>IF(A106="","",(-PMT(Refinance_Calculator!$C$26/12,Refinance_Calculator!$C$29,Refinance_Calculator!$C$23,0,0)))</f>
        <v>89.932578772912834</v>
      </c>
      <c r="D106" s="3">
        <f t="shared" si="17"/>
        <v>65.343571801508915</v>
      </c>
      <c r="E106" s="3">
        <f>IF(A106="","",(-PPMT(Refinance_Calculator!$C$26/12,'Internal Working'!A106,Refinance_Calculator!$C$29,Refinance_Calculator!$C$23,0,0)))</f>
        <v>24.589006971403926</v>
      </c>
      <c r="F106" s="3">
        <f t="shared" si="18"/>
        <v>13044.125353330377</v>
      </c>
      <c r="G106" s="5">
        <f t="shared" si="19"/>
        <v>24.589006971403926</v>
      </c>
      <c r="H106" s="36">
        <f t="shared" si="20"/>
        <v>65.343571801508915</v>
      </c>
      <c r="I106" s="37">
        <f ca="1">+IF(A106 &lt;= $L$2, (Full_Report!C186-'Internal Working'!C106),"")</f>
        <v>35.533431576106594</v>
      </c>
      <c r="J106" s="37">
        <f t="shared" ca="1" si="14"/>
        <v>3588.8765891867615</v>
      </c>
      <c r="K106" s="35" t="str">
        <f t="shared" ca="1" si="15"/>
        <v>0</v>
      </c>
      <c r="L106" s="35">
        <f t="shared" ca="1" si="13"/>
        <v>3588.8765891867615</v>
      </c>
      <c r="M106" s="2"/>
    </row>
    <row r="107" spans="1:13" x14ac:dyDescent="0.25">
      <c r="A107" s="1">
        <f>IF(OR(A106="",F106=0,A106=Refinance_Calculator!$C$29),"",A106+1)</f>
        <v>102</v>
      </c>
      <c r="B107" s="3">
        <f t="shared" si="16"/>
        <v>13044.125353330377</v>
      </c>
      <c r="C107" s="3">
        <f>IF(A107="","",(-PMT(Refinance_Calculator!$C$26/12,Refinance_Calculator!$C$29,Refinance_Calculator!$C$23,0,0)))</f>
        <v>89.932578772912834</v>
      </c>
      <c r="D107" s="3">
        <f t="shared" si="17"/>
        <v>65.22062676665189</v>
      </c>
      <c r="E107" s="3">
        <f>IF(A107="","",(-PPMT(Refinance_Calculator!$C$26/12,'Internal Working'!A107,Refinance_Calculator!$C$29,Refinance_Calculator!$C$23,0,0)))</f>
        <v>24.711952006260951</v>
      </c>
      <c r="F107" s="3">
        <f t="shared" si="18"/>
        <v>13019.413401324116</v>
      </c>
      <c r="G107" s="5">
        <f t="shared" si="19"/>
        <v>24.711952006260951</v>
      </c>
      <c r="H107" s="36">
        <f t="shared" si="20"/>
        <v>65.22062676665189</v>
      </c>
      <c r="I107" s="37">
        <f ca="1">+IF(A107 &lt;= $L$2, (Full_Report!C187-'Internal Working'!C107),"")</f>
        <v>35.533431576106594</v>
      </c>
      <c r="J107" s="37">
        <f t="shared" ca="1" si="14"/>
        <v>3624.410020762868</v>
      </c>
      <c r="K107" s="35" t="str">
        <f t="shared" ca="1" si="15"/>
        <v>0</v>
      </c>
      <c r="L107" s="35">
        <f t="shared" ca="1" si="13"/>
        <v>3624.410020762868</v>
      </c>
      <c r="M107" s="2"/>
    </row>
    <row r="108" spans="1:13" x14ac:dyDescent="0.25">
      <c r="A108" s="1">
        <f>IF(OR(A107="",F107=0,A107=Refinance_Calculator!$C$29),"",A107+1)</f>
        <v>103</v>
      </c>
      <c r="B108" s="3">
        <f t="shared" si="16"/>
        <v>13019.413401324116</v>
      </c>
      <c r="C108" s="3">
        <f>IF(A108="","",(-PMT(Refinance_Calculator!$C$26/12,Refinance_Calculator!$C$29,Refinance_Calculator!$C$23,0,0)))</f>
        <v>89.932578772912834</v>
      </c>
      <c r="D108" s="3">
        <f t="shared" si="17"/>
        <v>65.097067006620577</v>
      </c>
      <c r="E108" s="3">
        <f>IF(A108="","",(-PPMT(Refinance_Calculator!$C$26/12,'Internal Working'!A108,Refinance_Calculator!$C$29,Refinance_Calculator!$C$23,0,0)))</f>
        <v>24.835511766292253</v>
      </c>
      <c r="F108" s="3">
        <f t="shared" si="18"/>
        <v>12994.577889557824</v>
      </c>
      <c r="G108" s="5">
        <f t="shared" si="19"/>
        <v>24.835511766292253</v>
      </c>
      <c r="H108" s="36">
        <f t="shared" si="20"/>
        <v>65.097067006620577</v>
      </c>
      <c r="I108" s="37">
        <f ca="1">+IF(A108 &lt;= $L$2, (Full_Report!C188-'Internal Working'!C108),"")</f>
        <v>35.533431576106594</v>
      </c>
      <c r="J108" s="37">
        <f t="shared" ca="1" si="14"/>
        <v>3659.9434523389746</v>
      </c>
      <c r="K108" s="35" t="str">
        <f t="shared" ca="1" si="15"/>
        <v>0</v>
      </c>
      <c r="L108" s="35">
        <f t="shared" ca="1" si="13"/>
        <v>3659.9434523389746</v>
      </c>
      <c r="M108" s="2"/>
    </row>
    <row r="109" spans="1:13" x14ac:dyDescent="0.25">
      <c r="A109" s="1">
        <f>IF(OR(A108="",F108=0,A108=Refinance_Calculator!$C$29),"",A108+1)</f>
        <v>104</v>
      </c>
      <c r="B109" s="3">
        <f t="shared" si="16"/>
        <v>12994.577889557824</v>
      </c>
      <c r="C109" s="3">
        <f>IF(A109="","",(-PMT(Refinance_Calculator!$C$26/12,Refinance_Calculator!$C$29,Refinance_Calculator!$C$23,0,0)))</f>
        <v>89.932578772912834</v>
      </c>
      <c r="D109" s="3">
        <f t="shared" si="17"/>
        <v>64.972889447789115</v>
      </c>
      <c r="E109" s="3">
        <f>IF(A109="","",(-PPMT(Refinance_Calculator!$C$26/12,'Internal Working'!A109,Refinance_Calculator!$C$29,Refinance_Calculator!$C$23,0,0)))</f>
        <v>24.959689325123719</v>
      </c>
      <c r="F109" s="3">
        <f t="shared" si="18"/>
        <v>12969.6182002327</v>
      </c>
      <c r="G109" s="5">
        <f t="shared" si="19"/>
        <v>24.959689325123719</v>
      </c>
      <c r="H109" s="36">
        <f t="shared" si="20"/>
        <v>64.972889447789115</v>
      </c>
      <c r="I109" s="37">
        <f ca="1">+IF(A109 &lt;= $L$2, (Full_Report!C189-'Internal Working'!C109),"")</f>
        <v>35.533431576106594</v>
      </c>
      <c r="J109" s="37">
        <f t="shared" ca="1" si="14"/>
        <v>3695.4768839150811</v>
      </c>
      <c r="K109" s="35" t="str">
        <f t="shared" ca="1" si="15"/>
        <v>0</v>
      </c>
      <c r="L109" s="35">
        <f t="shared" ca="1" si="13"/>
        <v>3695.4768839150811</v>
      </c>
      <c r="M109" s="2"/>
    </row>
    <row r="110" spans="1:13" x14ac:dyDescent="0.25">
      <c r="A110" s="1">
        <f>IF(OR(A109="",F109=0,A109=Refinance_Calculator!$C$29),"",A109+1)</f>
        <v>105</v>
      </c>
      <c r="B110" s="3">
        <f t="shared" si="16"/>
        <v>12969.6182002327</v>
      </c>
      <c r="C110" s="3">
        <f>IF(A110="","",(-PMT(Refinance_Calculator!$C$26/12,Refinance_Calculator!$C$29,Refinance_Calculator!$C$23,0,0)))</f>
        <v>89.932578772912834</v>
      </c>
      <c r="D110" s="3">
        <f t="shared" si="17"/>
        <v>64.848091001163496</v>
      </c>
      <c r="E110" s="3">
        <f>IF(A110="","",(-PPMT(Refinance_Calculator!$C$26/12,'Internal Working'!A110,Refinance_Calculator!$C$29,Refinance_Calculator!$C$23,0,0)))</f>
        <v>25.084487771749334</v>
      </c>
      <c r="F110" s="3">
        <f t="shared" si="18"/>
        <v>12944.53371246095</v>
      </c>
      <c r="G110" s="5">
        <f t="shared" si="19"/>
        <v>25.084487771749334</v>
      </c>
      <c r="H110" s="36">
        <f t="shared" si="20"/>
        <v>64.848091001163496</v>
      </c>
      <c r="I110" s="37">
        <f ca="1">+IF(A110 &lt;= $L$2, (Full_Report!C190-'Internal Working'!C110),"")</f>
        <v>35.533431576106594</v>
      </c>
      <c r="J110" s="37">
        <f t="shared" ca="1" si="14"/>
        <v>3731.0103154911876</v>
      </c>
      <c r="K110" s="35" t="str">
        <f t="shared" ca="1" si="15"/>
        <v>0</v>
      </c>
      <c r="L110" s="35">
        <f t="shared" ca="1" si="13"/>
        <v>3731.0103154911876</v>
      </c>
      <c r="M110" s="2"/>
    </row>
    <row r="111" spans="1:13" x14ac:dyDescent="0.25">
      <c r="A111" s="1">
        <f>IF(OR(A110="",F110=0,A110=Refinance_Calculator!$C$29),"",A110+1)</f>
        <v>106</v>
      </c>
      <c r="B111" s="3">
        <f t="shared" si="16"/>
        <v>12944.53371246095</v>
      </c>
      <c r="C111" s="3">
        <f>IF(A111="","",(-PMT(Refinance_Calculator!$C$26/12,Refinance_Calculator!$C$29,Refinance_Calculator!$C$23,0,0)))</f>
        <v>89.932578772912834</v>
      </c>
      <c r="D111" s="3">
        <f t="shared" si="17"/>
        <v>64.722668562304762</v>
      </c>
      <c r="E111" s="3">
        <f>IF(A111="","",(-PPMT(Refinance_Calculator!$C$26/12,'Internal Working'!A111,Refinance_Calculator!$C$29,Refinance_Calculator!$C$23,0,0)))</f>
        <v>25.209910210608079</v>
      </c>
      <c r="F111" s="3">
        <f t="shared" si="18"/>
        <v>12919.323802250343</v>
      </c>
      <c r="G111" s="5">
        <f t="shared" si="19"/>
        <v>25.209910210608079</v>
      </c>
      <c r="H111" s="36">
        <f t="shared" si="20"/>
        <v>64.722668562304762</v>
      </c>
      <c r="I111" s="37">
        <f ca="1">+IF(A111 &lt;= $L$2, (Full_Report!C191-'Internal Working'!C111),"")</f>
        <v>35.533431576106594</v>
      </c>
      <c r="J111" s="37">
        <f t="shared" ca="1" si="14"/>
        <v>3766.5437470672941</v>
      </c>
      <c r="K111" s="35" t="str">
        <f t="shared" ca="1" si="15"/>
        <v>0</v>
      </c>
      <c r="L111" s="35">
        <f t="shared" ca="1" si="13"/>
        <v>3766.5437470672941</v>
      </c>
      <c r="M111" s="2"/>
    </row>
    <row r="112" spans="1:13" x14ac:dyDescent="0.25">
      <c r="A112" s="1">
        <f>IF(OR(A111="",F111=0,A111=Refinance_Calculator!$C$29),"",A111+1)</f>
        <v>107</v>
      </c>
      <c r="B112" s="3">
        <f t="shared" si="16"/>
        <v>12919.323802250343</v>
      </c>
      <c r="C112" s="3">
        <f>IF(A112="","",(-PMT(Refinance_Calculator!$C$26/12,Refinance_Calculator!$C$29,Refinance_Calculator!$C$23,0,0)))</f>
        <v>89.932578772912834</v>
      </c>
      <c r="D112" s="3">
        <f t="shared" si="17"/>
        <v>64.596619011251718</v>
      </c>
      <c r="E112" s="3">
        <f>IF(A112="","",(-PPMT(Refinance_Calculator!$C$26/12,'Internal Working'!A112,Refinance_Calculator!$C$29,Refinance_Calculator!$C$23,0,0)))</f>
        <v>25.335959761661119</v>
      </c>
      <c r="F112" s="3">
        <f t="shared" si="18"/>
        <v>12893.987842488681</v>
      </c>
      <c r="G112" s="5">
        <f t="shared" si="19"/>
        <v>25.335959761661119</v>
      </c>
      <c r="H112" s="36">
        <f t="shared" si="20"/>
        <v>64.596619011251718</v>
      </c>
      <c r="I112" s="37">
        <f ca="1">+IF(A112 &lt;= $L$2, (Full_Report!C192-'Internal Working'!C112),"")</f>
        <v>35.533431576106594</v>
      </c>
      <c r="J112" s="37">
        <f t="shared" ca="1" si="14"/>
        <v>3802.0771786434007</v>
      </c>
      <c r="K112" s="35" t="str">
        <f t="shared" ca="1" si="15"/>
        <v>0</v>
      </c>
      <c r="L112" s="35">
        <f t="shared" ca="1" si="13"/>
        <v>3802.0771786434007</v>
      </c>
      <c r="M112" s="2"/>
    </row>
    <row r="113" spans="1:13" x14ac:dyDescent="0.25">
      <c r="A113" s="1">
        <f>IF(OR(A112="",F112=0,A112=Refinance_Calculator!$C$29),"",A112+1)</f>
        <v>108</v>
      </c>
      <c r="B113" s="3">
        <f t="shared" si="16"/>
        <v>12893.987842488681</v>
      </c>
      <c r="C113" s="3">
        <f>IF(A113="","",(-PMT(Refinance_Calculator!$C$26/12,Refinance_Calculator!$C$29,Refinance_Calculator!$C$23,0,0)))</f>
        <v>89.932578772912834</v>
      </c>
      <c r="D113" s="3">
        <f t="shared" si="17"/>
        <v>64.469939212443421</v>
      </c>
      <c r="E113" s="3">
        <f>IF(A113="","",(-PPMT(Refinance_Calculator!$C$26/12,'Internal Working'!A113,Refinance_Calculator!$C$29,Refinance_Calculator!$C$23,0,0)))</f>
        <v>25.46263956046942</v>
      </c>
      <c r="F113" s="3">
        <f t="shared" si="18"/>
        <v>12868.525202928211</v>
      </c>
      <c r="G113" s="5">
        <f t="shared" si="19"/>
        <v>25.46263956046942</v>
      </c>
      <c r="H113" s="36">
        <f t="shared" si="20"/>
        <v>64.469939212443421</v>
      </c>
      <c r="I113" s="37">
        <f ca="1">+IF(A113 &lt;= $L$2, (Full_Report!C193-'Internal Working'!C113),"")</f>
        <v>35.533431576106594</v>
      </c>
      <c r="J113" s="37">
        <f t="shared" ca="1" si="14"/>
        <v>3837.6106102195072</v>
      </c>
      <c r="K113" s="35" t="str">
        <f t="shared" ca="1" si="15"/>
        <v>0</v>
      </c>
      <c r="L113" s="35">
        <f t="shared" ca="1" si="13"/>
        <v>3837.6106102195072</v>
      </c>
      <c r="M113" s="2"/>
    </row>
    <row r="114" spans="1:13" x14ac:dyDescent="0.25">
      <c r="A114" s="1">
        <f>IF(OR(A113="",F113=0,A113=Refinance_Calculator!$C$29),"",A113+1)</f>
        <v>109</v>
      </c>
      <c r="B114" s="3">
        <f t="shared" si="16"/>
        <v>12868.525202928211</v>
      </c>
      <c r="C114" s="3">
        <f>IF(A114="","",(-PMT(Refinance_Calculator!$C$26/12,Refinance_Calculator!$C$29,Refinance_Calculator!$C$23,0,0)))</f>
        <v>89.932578772912834</v>
      </c>
      <c r="D114" s="3">
        <f t="shared" si="17"/>
        <v>64.342626014641056</v>
      </c>
      <c r="E114" s="3">
        <f>IF(A114="","",(-PPMT(Refinance_Calculator!$C$26/12,'Internal Working'!A114,Refinance_Calculator!$C$29,Refinance_Calculator!$C$23,0,0)))</f>
        <v>25.589952758271775</v>
      </c>
      <c r="F114" s="3">
        <f t="shared" si="18"/>
        <v>12842.93525016994</v>
      </c>
      <c r="G114" s="5">
        <f t="shared" si="19"/>
        <v>25.589952758271775</v>
      </c>
      <c r="H114" s="36">
        <f t="shared" si="20"/>
        <v>64.342626014641056</v>
      </c>
      <c r="I114" s="37">
        <f ca="1">+IF(A114 &lt;= $L$2, (Full_Report!C194-'Internal Working'!C114),"")</f>
        <v>35.533431576106594</v>
      </c>
      <c r="J114" s="37">
        <f t="shared" ca="1" si="14"/>
        <v>3873.1440417956137</v>
      </c>
      <c r="K114" s="35" t="str">
        <f t="shared" ca="1" si="15"/>
        <v>0</v>
      </c>
      <c r="L114" s="35">
        <f t="shared" ca="1" si="13"/>
        <v>3873.1440417956137</v>
      </c>
      <c r="M114" s="2"/>
    </row>
    <row r="115" spans="1:13" x14ac:dyDescent="0.25">
      <c r="A115" s="1">
        <f>IF(OR(A114="",F114=0,A114=Refinance_Calculator!$C$29),"",A114+1)</f>
        <v>110</v>
      </c>
      <c r="B115" s="3">
        <f t="shared" si="16"/>
        <v>12842.93525016994</v>
      </c>
      <c r="C115" s="3">
        <f>IF(A115="","",(-PMT(Refinance_Calculator!$C$26/12,Refinance_Calculator!$C$29,Refinance_Calculator!$C$23,0,0)))</f>
        <v>89.932578772912834</v>
      </c>
      <c r="D115" s="3">
        <f t="shared" si="17"/>
        <v>64.214676250849706</v>
      </c>
      <c r="E115" s="3">
        <f>IF(A115="","",(-PPMT(Refinance_Calculator!$C$26/12,'Internal Working'!A115,Refinance_Calculator!$C$29,Refinance_Calculator!$C$23,0,0)))</f>
        <v>25.717902522063131</v>
      </c>
      <c r="F115" s="3">
        <f t="shared" si="18"/>
        <v>12817.217347647877</v>
      </c>
      <c r="G115" s="5">
        <f t="shared" si="19"/>
        <v>25.717902522063131</v>
      </c>
      <c r="H115" s="36">
        <f t="shared" si="20"/>
        <v>64.214676250849706</v>
      </c>
      <c r="I115" s="37">
        <f ca="1">+IF(A115 &lt;= $L$2, (Full_Report!C195-'Internal Working'!C115),"")</f>
        <v>35.533431576106594</v>
      </c>
      <c r="J115" s="37">
        <f t="shared" ca="1" si="14"/>
        <v>3908.6774733717202</v>
      </c>
      <c r="K115" s="35" t="str">
        <f t="shared" ca="1" si="15"/>
        <v>0</v>
      </c>
      <c r="L115" s="35">
        <f t="shared" ca="1" si="13"/>
        <v>3908.6774733717202</v>
      </c>
      <c r="M115" s="2"/>
    </row>
    <row r="116" spans="1:13" x14ac:dyDescent="0.25">
      <c r="A116" s="1">
        <f>IF(OR(A115="",F115=0,A115=Refinance_Calculator!$C$29),"",A115+1)</f>
        <v>111</v>
      </c>
      <c r="B116" s="3">
        <f t="shared" si="16"/>
        <v>12817.217347647877</v>
      </c>
      <c r="C116" s="3">
        <f>IF(A116="","",(-PMT(Refinance_Calculator!$C$26/12,Refinance_Calculator!$C$29,Refinance_Calculator!$C$23,0,0)))</f>
        <v>89.932578772912834</v>
      </c>
      <c r="D116" s="3">
        <f t="shared" si="17"/>
        <v>64.086086738239374</v>
      </c>
      <c r="E116" s="3">
        <f>IF(A116="","",(-PPMT(Refinance_Calculator!$C$26/12,'Internal Working'!A116,Refinance_Calculator!$C$29,Refinance_Calculator!$C$23,0,0)))</f>
        <v>25.846492034673453</v>
      </c>
      <c r="F116" s="3">
        <f t="shared" si="18"/>
        <v>12791.370855613202</v>
      </c>
      <c r="G116" s="5">
        <f t="shared" si="19"/>
        <v>25.846492034673453</v>
      </c>
      <c r="H116" s="36">
        <f t="shared" si="20"/>
        <v>64.086086738239374</v>
      </c>
      <c r="I116" s="37">
        <f ca="1">+IF(A116 &lt;= $L$2, (Full_Report!C196-'Internal Working'!C116),"")</f>
        <v>35.533431576106594</v>
      </c>
      <c r="J116" s="37">
        <f t="shared" ca="1" si="14"/>
        <v>3944.2109049478267</v>
      </c>
      <c r="K116" s="35" t="str">
        <f t="shared" ca="1" si="15"/>
        <v>0</v>
      </c>
      <c r="L116" s="35">
        <f t="shared" ca="1" si="13"/>
        <v>3944.2109049478267</v>
      </c>
      <c r="M116" s="2"/>
    </row>
    <row r="117" spans="1:13" x14ac:dyDescent="0.25">
      <c r="A117" s="1">
        <f>IF(OR(A116="",F116=0,A116=Refinance_Calculator!$C$29),"",A116+1)</f>
        <v>112</v>
      </c>
      <c r="B117" s="3">
        <f t="shared" si="16"/>
        <v>12791.370855613202</v>
      </c>
      <c r="C117" s="3">
        <f>IF(A117="","",(-PMT(Refinance_Calculator!$C$26/12,Refinance_Calculator!$C$29,Refinance_Calculator!$C$23,0,0)))</f>
        <v>89.932578772912834</v>
      </c>
      <c r="D117" s="3">
        <f t="shared" si="17"/>
        <v>63.956854278066018</v>
      </c>
      <c r="E117" s="3">
        <f>IF(A117="","",(-PPMT(Refinance_Calculator!$C$26/12,'Internal Working'!A117,Refinance_Calculator!$C$29,Refinance_Calculator!$C$23,0,0)))</f>
        <v>25.975724494846816</v>
      </c>
      <c r="F117" s="3">
        <f t="shared" si="18"/>
        <v>12765.395131118355</v>
      </c>
      <c r="G117" s="5">
        <f t="shared" si="19"/>
        <v>25.975724494846816</v>
      </c>
      <c r="H117" s="36">
        <f t="shared" si="20"/>
        <v>63.956854278066018</v>
      </c>
      <c r="I117" s="37">
        <f ca="1">+IF(A117 &lt;= $L$2, (Full_Report!C197-'Internal Working'!C117),"")</f>
        <v>35.533431576106594</v>
      </c>
      <c r="J117" s="37">
        <f t="shared" ca="1" si="14"/>
        <v>3979.7443365239333</v>
      </c>
      <c r="K117" s="35" t="str">
        <f t="shared" ca="1" si="15"/>
        <v>0</v>
      </c>
      <c r="L117" s="35">
        <f t="shared" ca="1" si="13"/>
        <v>3979.7443365239333</v>
      </c>
      <c r="M117" s="2"/>
    </row>
    <row r="118" spans="1:13" x14ac:dyDescent="0.25">
      <c r="A118" s="1">
        <f>IF(OR(A117="",F117=0,A117=Refinance_Calculator!$C$29),"",A117+1)</f>
        <v>113</v>
      </c>
      <c r="B118" s="3">
        <f t="shared" si="16"/>
        <v>12765.395131118355</v>
      </c>
      <c r="C118" s="3">
        <f>IF(A118="","",(-PMT(Refinance_Calculator!$C$26/12,Refinance_Calculator!$C$29,Refinance_Calculator!$C$23,0,0)))</f>
        <v>89.932578772912834</v>
      </c>
      <c r="D118" s="3">
        <f t="shared" si="17"/>
        <v>63.826975655591781</v>
      </c>
      <c r="E118" s="3">
        <f>IF(A118="","",(-PPMT(Refinance_Calculator!$C$26/12,'Internal Working'!A118,Refinance_Calculator!$C$29,Refinance_Calculator!$C$23,0,0)))</f>
        <v>26.105603117321049</v>
      </c>
      <c r="F118" s="3">
        <f t="shared" si="18"/>
        <v>12739.289528001034</v>
      </c>
      <c r="G118" s="5">
        <f t="shared" si="19"/>
        <v>26.105603117321049</v>
      </c>
      <c r="H118" s="36">
        <f t="shared" si="20"/>
        <v>63.826975655591781</v>
      </c>
      <c r="I118" s="37">
        <f ca="1">+IF(A118 &lt;= $L$2, (Full_Report!C198-'Internal Working'!C118),"")</f>
        <v>35.533431576106594</v>
      </c>
      <c r="J118" s="37">
        <f t="shared" ca="1" si="14"/>
        <v>4015.2777681000398</v>
      </c>
      <c r="K118" s="35" t="str">
        <f t="shared" ca="1" si="15"/>
        <v>0</v>
      </c>
      <c r="L118" s="35">
        <f t="shared" ca="1" si="13"/>
        <v>4015.2777681000398</v>
      </c>
      <c r="M118" s="2"/>
    </row>
    <row r="119" spans="1:13" x14ac:dyDescent="0.25">
      <c r="A119" s="1">
        <f>IF(OR(A118="",F118=0,A118=Refinance_Calculator!$C$29),"",A118+1)</f>
        <v>114</v>
      </c>
      <c r="B119" s="3">
        <f t="shared" si="16"/>
        <v>12739.289528001034</v>
      </c>
      <c r="C119" s="3">
        <f>IF(A119="","",(-PMT(Refinance_Calculator!$C$26/12,Refinance_Calculator!$C$29,Refinance_Calculator!$C$23,0,0)))</f>
        <v>89.932578772912834</v>
      </c>
      <c r="D119" s="3">
        <f t="shared" si="17"/>
        <v>63.696447640005175</v>
      </c>
      <c r="E119" s="3">
        <f>IF(A119="","",(-PPMT(Refinance_Calculator!$C$26/12,'Internal Working'!A119,Refinance_Calculator!$C$29,Refinance_Calculator!$C$23,0,0)))</f>
        <v>26.236131132907655</v>
      </c>
      <c r="F119" s="3">
        <f t="shared" si="18"/>
        <v>12713.053396868127</v>
      </c>
      <c r="G119" s="5">
        <f t="shared" si="19"/>
        <v>26.236131132907655</v>
      </c>
      <c r="H119" s="36">
        <f t="shared" si="20"/>
        <v>63.696447640005175</v>
      </c>
      <c r="I119" s="37">
        <f ca="1">+IF(A119 &lt;= $L$2, (Full_Report!C199-'Internal Working'!C119),"")</f>
        <v>35.533431576106594</v>
      </c>
      <c r="J119" s="37">
        <f t="shared" ca="1" si="14"/>
        <v>4050.8111996761463</v>
      </c>
      <c r="K119" s="35" t="str">
        <f t="shared" ca="1" si="15"/>
        <v>0</v>
      </c>
      <c r="L119" s="35">
        <f t="shared" ca="1" si="13"/>
        <v>4050.8111996761463</v>
      </c>
      <c r="M119" s="2"/>
    </row>
    <row r="120" spans="1:13" x14ac:dyDescent="0.25">
      <c r="A120" s="1">
        <f>IF(OR(A119="",F119=0,A119=Refinance_Calculator!$C$29),"",A119+1)</f>
        <v>115</v>
      </c>
      <c r="B120" s="3">
        <f t="shared" si="16"/>
        <v>12713.053396868127</v>
      </c>
      <c r="C120" s="3">
        <f>IF(A120="","",(-PMT(Refinance_Calculator!$C$26/12,Refinance_Calculator!$C$29,Refinance_Calculator!$C$23,0,0)))</f>
        <v>89.932578772912834</v>
      </c>
      <c r="D120" s="3">
        <f t="shared" si="17"/>
        <v>63.565266984340639</v>
      </c>
      <c r="E120" s="3">
        <f>IF(A120="","",(-PPMT(Refinance_Calculator!$C$26/12,'Internal Working'!A120,Refinance_Calculator!$C$29,Refinance_Calculator!$C$23,0,0)))</f>
        <v>26.367311788572199</v>
      </c>
      <c r="F120" s="3">
        <f t="shared" si="18"/>
        <v>12686.686085079555</v>
      </c>
      <c r="G120" s="5">
        <f t="shared" si="19"/>
        <v>26.367311788572199</v>
      </c>
      <c r="H120" s="36">
        <f t="shared" si="20"/>
        <v>63.565266984340639</v>
      </c>
      <c r="I120" s="37">
        <f ca="1">+IF(A120 &lt;= $L$2, (Full_Report!C200-'Internal Working'!C120),"")</f>
        <v>35.533431576106594</v>
      </c>
      <c r="J120" s="37">
        <f t="shared" ca="1" si="14"/>
        <v>4086.3446312522528</v>
      </c>
      <c r="K120" s="35" t="str">
        <f t="shared" ca="1" si="15"/>
        <v>0</v>
      </c>
      <c r="L120" s="35">
        <f t="shared" ca="1" si="13"/>
        <v>4086.3446312522528</v>
      </c>
      <c r="M120" s="2"/>
    </row>
    <row r="121" spans="1:13" x14ac:dyDescent="0.25">
      <c r="A121" s="1">
        <f>IF(OR(A120="",F120=0,A120=Refinance_Calculator!$C$29),"",A120+1)</f>
        <v>116</v>
      </c>
      <c r="B121" s="3">
        <f t="shared" si="16"/>
        <v>12686.686085079555</v>
      </c>
      <c r="C121" s="3">
        <f>IF(A121="","",(-PMT(Refinance_Calculator!$C$26/12,Refinance_Calculator!$C$29,Refinance_Calculator!$C$23,0,0)))</f>
        <v>89.932578772912834</v>
      </c>
      <c r="D121" s="3">
        <f t="shared" si="17"/>
        <v>63.433430425397781</v>
      </c>
      <c r="E121" s="3">
        <f>IF(A121="","",(-PPMT(Refinance_Calculator!$C$26/12,'Internal Working'!A121,Refinance_Calculator!$C$29,Refinance_Calculator!$C$23,0,0)))</f>
        <v>26.499148347515053</v>
      </c>
      <c r="F121" s="3">
        <f t="shared" si="18"/>
        <v>12660.18693673204</v>
      </c>
      <c r="G121" s="5">
        <f t="shared" si="19"/>
        <v>26.499148347515053</v>
      </c>
      <c r="H121" s="36">
        <f t="shared" si="20"/>
        <v>63.433430425397781</v>
      </c>
      <c r="I121" s="37">
        <f ca="1">+IF(A121 &lt;= $L$2, (Full_Report!C201-'Internal Working'!C121),"")</f>
        <v>35.533431576106594</v>
      </c>
      <c r="J121" s="37">
        <f t="shared" ca="1" si="14"/>
        <v>4121.8780628283594</v>
      </c>
      <c r="K121" s="35" t="str">
        <f t="shared" ca="1" si="15"/>
        <v>0</v>
      </c>
      <c r="L121" s="35">
        <f t="shared" ca="1" si="13"/>
        <v>4121.8780628283594</v>
      </c>
      <c r="M121" s="2"/>
    </row>
    <row r="122" spans="1:13" x14ac:dyDescent="0.25">
      <c r="A122" s="1">
        <f>IF(OR(A121="",F121=0,A121=Refinance_Calculator!$C$29),"",A121+1)</f>
        <v>117</v>
      </c>
      <c r="B122" s="3">
        <f t="shared" si="16"/>
        <v>12660.18693673204</v>
      </c>
      <c r="C122" s="3">
        <f>IF(A122="","",(-PMT(Refinance_Calculator!$C$26/12,Refinance_Calculator!$C$29,Refinance_Calculator!$C$23,0,0)))</f>
        <v>89.932578772912834</v>
      </c>
      <c r="D122" s="3">
        <f t="shared" si="17"/>
        <v>63.300934683660209</v>
      </c>
      <c r="E122" s="3">
        <f>IF(A122="","",(-PPMT(Refinance_Calculator!$C$26/12,'Internal Working'!A122,Refinance_Calculator!$C$29,Refinance_Calculator!$C$23,0,0)))</f>
        <v>26.631644089252624</v>
      </c>
      <c r="F122" s="3">
        <f t="shared" si="18"/>
        <v>12633.555292642786</v>
      </c>
      <c r="G122" s="5">
        <f t="shared" si="19"/>
        <v>26.631644089252624</v>
      </c>
      <c r="H122" s="36">
        <f t="shared" si="20"/>
        <v>63.300934683660209</v>
      </c>
      <c r="I122" s="37">
        <f ca="1">+IF(A122 &lt;= $L$2, (Full_Report!C202-'Internal Working'!C122),"")</f>
        <v>35.533431576106594</v>
      </c>
      <c r="J122" s="37">
        <f t="shared" ca="1" si="14"/>
        <v>4157.4114944044659</v>
      </c>
      <c r="K122" s="35" t="str">
        <f t="shared" ca="1" si="15"/>
        <v>0</v>
      </c>
      <c r="L122" s="35">
        <f t="shared" ca="1" si="13"/>
        <v>4157.4114944044659</v>
      </c>
      <c r="M122" s="2"/>
    </row>
    <row r="123" spans="1:13" x14ac:dyDescent="0.25">
      <c r="A123" s="1">
        <f>IF(OR(A122="",F122=0,A122=Refinance_Calculator!$C$29),"",A122+1)</f>
        <v>118</v>
      </c>
      <c r="B123" s="3">
        <f t="shared" si="16"/>
        <v>12633.555292642786</v>
      </c>
      <c r="C123" s="3">
        <f>IF(A123="","",(-PMT(Refinance_Calculator!$C$26/12,Refinance_Calculator!$C$29,Refinance_Calculator!$C$23,0,0)))</f>
        <v>89.932578772912834</v>
      </c>
      <c r="D123" s="3">
        <f t="shared" si="17"/>
        <v>63.16777646321394</v>
      </c>
      <c r="E123" s="3">
        <f>IF(A123="","",(-PPMT(Refinance_Calculator!$C$26/12,'Internal Working'!A123,Refinance_Calculator!$C$29,Refinance_Calculator!$C$23,0,0)))</f>
        <v>26.764802309698894</v>
      </c>
      <c r="F123" s="3">
        <f t="shared" si="18"/>
        <v>12606.790490333087</v>
      </c>
      <c r="G123" s="5">
        <f t="shared" si="19"/>
        <v>26.764802309698894</v>
      </c>
      <c r="H123" s="36">
        <f t="shared" si="20"/>
        <v>63.16777646321394</v>
      </c>
      <c r="I123" s="37">
        <f ca="1">+IF(A123 &lt;= $L$2, (Full_Report!C203-'Internal Working'!C123),"")</f>
        <v>35.533431576106594</v>
      </c>
      <c r="J123" s="37">
        <f t="shared" ca="1" si="14"/>
        <v>4192.9449259805724</v>
      </c>
      <c r="K123" s="35" t="str">
        <f t="shared" ca="1" si="15"/>
        <v>0</v>
      </c>
      <c r="L123" s="35">
        <f t="shared" ca="1" si="13"/>
        <v>4192.9449259805724</v>
      </c>
      <c r="M123" s="2"/>
    </row>
    <row r="124" spans="1:13" x14ac:dyDescent="0.25">
      <c r="A124" s="1">
        <f>IF(OR(A123="",F123=0,A123=Refinance_Calculator!$C$29),"",A123+1)</f>
        <v>119</v>
      </c>
      <c r="B124" s="3">
        <f t="shared" si="16"/>
        <v>12606.790490333087</v>
      </c>
      <c r="C124" s="3">
        <f>IF(A124="","",(-PMT(Refinance_Calculator!$C$26/12,Refinance_Calculator!$C$29,Refinance_Calculator!$C$23,0,0)))</f>
        <v>89.932578772912834</v>
      </c>
      <c r="D124" s="3">
        <f t="shared" si="17"/>
        <v>63.033952451665456</v>
      </c>
      <c r="E124" s="3">
        <f>IF(A124="","",(-PPMT(Refinance_Calculator!$C$26/12,'Internal Working'!A124,Refinance_Calculator!$C$29,Refinance_Calculator!$C$23,0,0)))</f>
        <v>26.898626321247381</v>
      </c>
      <c r="F124" s="3">
        <f t="shared" si="18"/>
        <v>12579.891864011839</v>
      </c>
      <c r="G124" s="5">
        <f t="shared" si="19"/>
        <v>26.898626321247381</v>
      </c>
      <c r="H124" s="36">
        <f t="shared" si="20"/>
        <v>63.033952451665456</v>
      </c>
      <c r="I124" s="37">
        <f ca="1">+IF(A124 &lt;= $L$2, (Full_Report!C204-'Internal Working'!C124),"")</f>
        <v>35.533431576106594</v>
      </c>
      <c r="J124" s="37">
        <f t="shared" ca="1" si="14"/>
        <v>4228.4783575566789</v>
      </c>
      <c r="K124" s="35" t="str">
        <f t="shared" ca="1" si="15"/>
        <v>0</v>
      </c>
      <c r="L124" s="35">
        <f t="shared" ca="1" si="13"/>
        <v>4228.4783575566789</v>
      </c>
      <c r="M124" s="2"/>
    </row>
    <row r="125" spans="1:13" x14ac:dyDescent="0.25">
      <c r="A125" s="1">
        <f>IF(OR(A124="",F124=0,A124=Refinance_Calculator!$C$29),"",A124+1)</f>
        <v>120</v>
      </c>
      <c r="B125" s="3">
        <f t="shared" si="16"/>
        <v>12579.891864011839</v>
      </c>
      <c r="C125" s="3">
        <f>IF(A125="","",(-PMT(Refinance_Calculator!$C$26/12,Refinance_Calculator!$C$29,Refinance_Calculator!$C$23,0,0)))</f>
        <v>89.932578772912834</v>
      </c>
      <c r="D125" s="3">
        <f t="shared" si="17"/>
        <v>62.899459320059208</v>
      </c>
      <c r="E125" s="3">
        <f>IF(A125="","",(-PPMT(Refinance_Calculator!$C$26/12,'Internal Working'!A125,Refinance_Calculator!$C$29,Refinance_Calculator!$C$23,0,0)))</f>
        <v>27.033119452853622</v>
      </c>
      <c r="F125" s="3">
        <f t="shared" si="18"/>
        <v>12552.858744558986</v>
      </c>
      <c r="G125" s="5">
        <f t="shared" si="19"/>
        <v>27.033119452853622</v>
      </c>
      <c r="H125" s="36">
        <f t="shared" si="20"/>
        <v>62.899459320059208</v>
      </c>
      <c r="I125" s="37">
        <f ca="1">+IF(A125 &lt;= $L$2, (Full_Report!C205-'Internal Working'!C125),"")</f>
        <v>35.533431576106594</v>
      </c>
      <c r="J125" s="37">
        <f t="shared" ca="1" si="14"/>
        <v>4264.0117891327855</v>
      </c>
      <c r="K125" s="35" t="str">
        <f t="shared" ca="1" si="15"/>
        <v>0</v>
      </c>
      <c r="L125" s="35">
        <f t="shared" ca="1" si="13"/>
        <v>4264.0117891327855</v>
      </c>
      <c r="M125" s="2"/>
    </row>
    <row r="126" spans="1:13" x14ac:dyDescent="0.25">
      <c r="A126" s="1">
        <f>IF(OR(A125="",F125=0,A125=Refinance_Calculator!$C$29),"",A125+1)</f>
        <v>121</v>
      </c>
      <c r="B126" s="3">
        <f t="shared" si="16"/>
        <v>12552.858744558986</v>
      </c>
      <c r="C126" s="3">
        <f>IF(A126="","",(-PMT(Refinance_Calculator!$C$26/12,Refinance_Calculator!$C$29,Refinance_Calculator!$C$23,0,0)))</f>
        <v>89.932578772912834</v>
      </c>
      <c r="D126" s="3">
        <f t="shared" si="17"/>
        <v>62.764293722794939</v>
      </c>
      <c r="E126" s="3">
        <f>IF(A126="","",(-PPMT(Refinance_Calculator!$C$26/12,'Internal Working'!A126,Refinance_Calculator!$C$29,Refinance_Calculator!$C$23,0,0)))</f>
        <v>27.168285050117895</v>
      </c>
      <c r="F126" s="3">
        <f t="shared" si="18"/>
        <v>12525.690459508867</v>
      </c>
      <c r="G126" s="5">
        <f t="shared" si="19"/>
        <v>27.168285050117895</v>
      </c>
      <c r="H126" s="36">
        <f t="shared" si="20"/>
        <v>62.764293722794939</v>
      </c>
      <c r="I126" s="37">
        <f ca="1">+IF(A126 &lt;= $L$2, (Full_Report!C206-'Internal Working'!C126),"")</f>
        <v>35.533431576106594</v>
      </c>
      <c r="J126" s="37">
        <f t="shared" ca="1" si="14"/>
        <v>4299.545220708892</v>
      </c>
      <c r="K126" s="35" t="str">
        <f t="shared" ca="1" si="15"/>
        <v>0</v>
      </c>
      <c r="L126" s="35">
        <f t="shared" ca="1" si="13"/>
        <v>4299.545220708892</v>
      </c>
      <c r="M126" s="2"/>
    </row>
    <row r="127" spans="1:13" x14ac:dyDescent="0.25">
      <c r="A127" s="1">
        <f>IF(OR(A126="",F126=0,A126=Refinance_Calculator!$C$29),"",A126+1)</f>
        <v>122</v>
      </c>
      <c r="B127" s="3">
        <f t="shared" si="16"/>
        <v>12525.690459508867</v>
      </c>
      <c r="C127" s="3">
        <f>IF(A127="","",(-PMT(Refinance_Calculator!$C$26/12,Refinance_Calculator!$C$29,Refinance_Calculator!$C$23,0,0)))</f>
        <v>89.932578772912834</v>
      </c>
      <c r="D127" s="3">
        <f t="shared" si="17"/>
        <v>62.628452297544349</v>
      </c>
      <c r="E127" s="3">
        <f>IF(A127="","",(-PPMT(Refinance_Calculator!$C$26/12,'Internal Working'!A127,Refinance_Calculator!$C$29,Refinance_Calculator!$C$23,0,0)))</f>
        <v>27.304126475368484</v>
      </c>
      <c r="F127" s="3">
        <f t="shared" si="18"/>
        <v>12498.386333033499</v>
      </c>
      <c r="G127" s="5">
        <f t="shared" si="19"/>
        <v>27.304126475368484</v>
      </c>
      <c r="H127" s="36">
        <f t="shared" si="20"/>
        <v>62.628452297544349</v>
      </c>
      <c r="I127" s="37">
        <f ca="1">+IF(A127 &lt;= $L$2, (Full_Report!C207-'Internal Working'!C127),"")</f>
        <v>35.533431576106594</v>
      </c>
      <c r="J127" s="37">
        <f t="shared" ca="1" si="14"/>
        <v>4335.0786522849985</v>
      </c>
      <c r="K127" s="35" t="str">
        <f t="shared" ca="1" si="15"/>
        <v>0</v>
      </c>
      <c r="L127" s="35">
        <f t="shared" ca="1" si="13"/>
        <v>4335.0786522849985</v>
      </c>
      <c r="M127" s="2"/>
    </row>
    <row r="128" spans="1:13" x14ac:dyDescent="0.25">
      <c r="A128" s="1">
        <f>IF(OR(A127="",F127=0,A127=Refinance_Calculator!$C$29),"",A127+1)</f>
        <v>123</v>
      </c>
      <c r="B128" s="3">
        <f t="shared" si="16"/>
        <v>12498.386333033499</v>
      </c>
      <c r="C128" s="3">
        <f>IF(A128="","",(-PMT(Refinance_Calculator!$C$26/12,Refinance_Calculator!$C$29,Refinance_Calculator!$C$23,0,0)))</f>
        <v>89.932578772912834</v>
      </c>
      <c r="D128" s="3">
        <f t="shared" si="17"/>
        <v>62.491931665167513</v>
      </c>
      <c r="E128" s="3">
        <f>IF(A128="","",(-PPMT(Refinance_Calculator!$C$26/12,'Internal Working'!A128,Refinance_Calculator!$C$29,Refinance_Calculator!$C$23,0,0)))</f>
        <v>27.44064710774532</v>
      </c>
      <c r="F128" s="3">
        <f t="shared" si="18"/>
        <v>12470.945685925753</v>
      </c>
      <c r="G128" s="5">
        <f t="shared" si="19"/>
        <v>27.44064710774532</v>
      </c>
      <c r="H128" s="36">
        <f t="shared" si="20"/>
        <v>62.491931665167513</v>
      </c>
      <c r="I128" s="37">
        <f ca="1">+IF(A128 &lt;= $L$2, (Full_Report!C208-'Internal Working'!C128),"")</f>
        <v>35.533431576106594</v>
      </c>
      <c r="J128" s="37">
        <f t="shared" ca="1" si="14"/>
        <v>4370.612083861105</v>
      </c>
      <c r="K128" s="35" t="str">
        <f t="shared" ca="1" si="15"/>
        <v>0</v>
      </c>
      <c r="L128" s="35">
        <f t="shared" ca="1" si="13"/>
        <v>4370.612083861105</v>
      </c>
      <c r="M128" s="2"/>
    </row>
    <row r="129" spans="1:13" x14ac:dyDescent="0.25">
      <c r="A129" s="1">
        <f>IF(OR(A128="",F128=0,A128=Refinance_Calculator!$C$29),"",A128+1)</f>
        <v>124</v>
      </c>
      <c r="B129" s="3">
        <f t="shared" si="16"/>
        <v>12470.945685925753</v>
      </c>
      <c r="C129" s="3">
        <f>IF(A129="","",(-PMT(Refinance_Calculator!$C$26/12,Refinance_Calculator!$C$29,Refinance_Calculator!$C$23,0,0)))</f>
        <v>89.932578772912834</v>
      </c>
      <c r="D129" s="3">
        <f t="shared" si="17"/>
        <v>62.354728429628778</v>
      </c>
      <c r="E129" s="3">
        <f>IF(A129="","",(-PPMT(Refinance_Calculator!$C$26/12,'Internal Working'!A129,Refinance_Calculator!$C$29,Refinance_Calculator!$C$23,0,0)))</f>
        <v>27.577850343284055</v>
      </c>
      <c r="F129" s="3">
        <f t="shared" si="18"/>
        <v>12443.367835582469</v>
      </c>
      <c r="G129" s="5">
        <f t="shared" si="19"/>
        <v>27.577850343284055</v>
      </c>
      <c r="H129" s="36">
        <f t="shared" si="20"/>
        <v>62.354728429628778</v>
      </c>
      <c r="I129" s="37">
        <f ca="1">+IF(A129 &lt;= $L$2, (Full_Report!C209-'Internal Working'!C129),"")</f>
        <v>35.533431576106594</v>
      </c>
      <c r="J129" s="37">
        <f t="shared" ca="1" si="14"/>
        <v>4406.1455154372115</v>
      </c>
      <c r="K129" s="35" t="str">
        <f t="shared" ca="1" si="15"/>
        <v>0</v>
      </c>
      <c r="L129" s="35">
        <f t="shared" ca="1" si="13"/>
        <v>4406.1455154372115</v>
      </c>
      <c r="M129" s="2"/>
    </row>
    <row r="130" spans="1:13" x14ac:dyDescent="0.25">
      <c r="A130" s="1">
        <f>IF(OR(A129="",F129=0,A129=Refinance_Calculator!$C$29),"",A129+1)</f>
        <v>125</v>
      </c>
      <c r="B130" s="3">
        <f t="shared" si="16"/>
        <v>12443.367835582469</v>
      </c>
      <c r="C130" s="3">
        <f>IF(A130="","",(-PMT(Refinance_Calculator!$C$26/12,Refinance_Calculator!$C$29,Refinance_Calculator!$C$23,0,0)))</f>
        <v>89.932578772912834</v>
      </c>
      <c r="D130" s="3">
        <f t="shared" si="17"/>
        <v>62.216839177912362</v>
      </c>
      <c r="E130" s="3">
        <f>IF(A130="","",(-PPMT(Refinance_Calculator!$C$26/12,'Internal Working'!A130,Refinance_Calculator!$C$29,Refinance_Calculator!$C$23,0,0)))</f>
        <v>27.715739595000468</v>
      </c>
      <c r="F130" s="3">
        <f t="shared" si="18"/>
        <v>12415.652095987469</v>
      </c>
      <c r="G130" s="5">
        <f t="shared" si="19"/>
        <v>27.715739595000468</v>
      </c>
      <c r="H130" s="36">
        <f t="shared" si="20"/>
        <v>62.216839177912362</v>
      </c>
      <c r="I130" s="37">
        <f ca="1">+IF(A130 &lt;= $L$2, (Full_Report!C210-'Internal Working'!C130),"")</f>
        <v>35.533431576106594</v>
      </c>
      <c r="J130" s="37">
        <f t="shared" ca="1" si="14"/>
        <v>4441.6789470133181</v>
      </c>
      <c r="K130" s="35" t="str">
        <f t="shared" ca="1" si="15"/>
        <v>0</v>
      </c>
      <c r="L130" s="35">
        <f t="shared" ca="1" si="13"/>
        <v>4441.6789470133181</v>
      </c>
      <c r="M130" s="2"/>
    </row>
    <row r="131" spans="1:13" x14ac:dyDescent="0.25">
      <c r="A131" s="1">
        <f>IF(OR(A130="",F130=0,A130=Refinance_Calculator!$C$29),"",A130+1)</f>
        <v>126</v>
      </c>
      <c r="B131" s="3">
        <f t="shared" si="16"/>
        <v>12415.652095987469</v>
      </c>
      <c r="C131" s="3">
        <f>IF(A131="","",(-PMT(Refinance_Calculator!$C$26/12,Refinance_Calculator!$C$29,Refinance_Calculator!$C$23,0,0)))</f>
        <v>89.932578772912834</v>
      </c>
      <c r="D131" s="3">
        <f t="shared" si="17"/>
        <v>62.078260479937356</v>
      </c>
      <c r="E131" s="3">
        <f>IF(A131="","",(-PPMT(Refinance_Calculator!$C$26/12,'Internal Working'!A131,Refinance_Calculator!$C$29,Refinance_Calculator!$C$23,0,0)))</f>
        <v>27.854318292975478</v>
      </c>
      <c r="F131" s="3">
        <f t="shared" si="18"/>
        <v>12387.797777694494</v>
      </c>
      <c r="G131" s="5">
        <f t="shared" si="19"/>
        <v>27.854318292975478</v>
      </c>
      <c r="H131" s="36">
        <f t="shared" si="20"/>
        <v>62.078260479937356</v>
      </c>
      <c r="I131" s="37">
        <f ca="1">+IF(A131 &lt;= $L$2, (Full_Report!C211-'Internal Working'!C131),"")</f>
        <v>35.533431576106594</v>
      </c>
      <c r="J131" s="37">
        <f t="shared" ca="1" si="14"/>
        <v>4477.2123785894246</v>
      </c>
      <c r="K131" s="35" t="str">
        <f t="shared" ca="1" si="15"/>
        <v>0</v>
      </c>
      <c r="L131" s="35">
        <f t="shared" ca="1" si="13"/>
        <v>4477.2123785894246</v>
      </c>
      <c r="M131" s="2"/>
    </row>
    <row r="132" spans="1:13" x14ac:dyDescent="0.25">
      <c r="A132" s="1">
        <f>IF(OR(A131="",F131=0,A131=Refinance_Calculator!$C$29),"",A131+1)</f>
        <v>127</v>
      </c>
      <c r="B132" s="3">
        <f t="shared" si="16"/>
        <v>12387.797777694494</v>
      </c>
      <c r="C132" s="3">
        <f>IF(A132="","",(-PMT(Refinance_Calculator!$C$26/12,Refinance_Calculator!$C$29,Refinance_Calculator!$C$23,0,0)))</f>
        <v>89.932578772912834</v>
      </c>
      <c r="D132" s="3">
        <f t="shared" si="17"/>
        <v>61.93898888847248</v>
      </c>
      <c r="E132" s="3">
        <f>IF(A132="","",(-PPMT(Refinance_Calculator!$C$26/12,'Internal Working'!A132,Refinance_Calculator!$C$29,Refinance_Calculator!$C$23,0,0)))</f>
        <v>27.99358988444035</v>
      </c>
      <c r="F132" s="3">
        <f t="shared" si="18"/>
        <v>12359.804187810054</v>
      </c>
      <c r="G132" s="5">
        <f t="shared" si="19"/>
        <v>27.99358988444035</v>
      </c>
      <c r="H132" s="36">
        <f t="shared" si="20"/>
        <v>61.93898888847248</v>
      </c>
      <c r="I132" s="37">
        <f ca="1">+IF(A132 &lt;= $L$2, (Full_Report!C212-'Internal Working'!C132),"")</f>
        <v>35.533431576106594</v>
      </c>
      <c r="J132" s="37">
        <f t="shared" ca="1" si="14"/>
        <v>4512.7458101655311</v>
      </c>
      <c r="K132" s="35" t="str">
        <f t="shared" ca="1" si="15"/>
        <v>0</v>
      </c>
      <c r="L132" s="35">
        <f t="shared" ca="1" si="13"/>
        <v>4512.7458101655311</v>
      </c>
      <c r="M132" s="2"/>
    </row>
    <row r="133" spans="1:13" x14ac:dyDescent="0.25">
      <c r="A133" s="1">
        <f>IF(OR(A132="",F132=0,A132=Refinance_Calculator!$C$29),"",A132+1)</f>
        <v>128</v>
      </c>
      <c r="B133" s="3">
        <f t="shared" si="16"/>
        <v>12359.804187810054</v>
      </c>
      <c r="C133" s="3">
        <f>IF(A133="","",(-PMT(Refinance_Calculator!$C$26/12,Refinance_Calculator!$C$29,Refinance_Calculator!$C$23,0,0)))</f>
        <v>89.932578772912834</v>
      </c>
      <c r="D133" s="3">
        <f t="shared" si="17"/>
        <v>61.79902093905028</v>
      </c>
      <c r="E133" s="3">
        <f>IF(A133="","",(-PPMT(Refinance_Calculator!$C$26/12,'Internal Working'!A133,Refinance_Calculator!$C$29,Refinance_Calculator!$C$23,0,0)))</f>
        <v>28.133557833862557</v>
      </c>
      <c r="F133" s="3">
        <f t="shared" si="18"/>
        <v>12331.670629976192</v>
      </c>
      <c r="G133" s="5">
        <f t="shared" si="19"/>
        <v>28.133557833862557</v>
      </c>
      <c r="H133" s="36">
        <f t="shared" si="20"/>
        <v>61.79902093905028</v>
      </c>
      <c r="I133" s="37">
        <f ca="1">+IF(A133 &lt;= $L$2, (Full_Report!C213-'Internal Working'!C133),"")</f>
        <v>35.533431576106594</v>
      </c>
      <c r="J133" s="37">
        <f t="shared" ca="1" si="14"/>
        <v>4548.2792417416376</v>
      </c>
      <c r="K133" s="35" t="str">
        <f t="shared" ca="1" si="15"/>
        <v>0</v>
      </c>
      <c r="L133" s="35">
        <f t="shared" ca="1" si="13"/>
        <v>4548.2792417416376</v>
      </c>
      <c r="M133" s="2"/>
    </row>
    <row r="134" spans="1:13" x14ac:dyDescent="0.25">
      <c r="A134" s="1">
        <f>IF(OR(A133="",F133=0,A133=Refinance_Calculator!$C$29),"",A133+1)</f>
        <v>129</v>
      </c>
      <c r="B134" s="3">
        <f t="shared" si="16"/>
        <v>12331.670629976192</v>
      </c>
      <c r="C134" s="3">
        <f>IF(A134="","",(-PMT(Refinance_Calculator!$C$26/12,Refinance_Calculator!$C$29,Refinance_Calculator!$C$23,0,0)))</f>
        <v>89.932578772912834</v>
      </c>
      <c r="D134" s="3">
        <f t="shared" si="17"/>
        <v>61.658353149880966</v>
      </c>
      <c r="E134" s="3">
        <f>IF(A134="","",(-PPMT(Refinance_Calculator!$C$26/12,'Internal Working'!A134,Refinance_Calculator!$C$29,Refinance_Calculator!$C$23,0,0)))</f>
        <v>28.274225623031867</v>
      </c>
      <c r="F134" s="3">
        <f t="shared" si="18"/>
        <v>12303.39640435316</v>
      </c>
      <c r="G134" s="5">
        <f t="shared" si="19"/>
        <v>28.274225623031867</v>
      </c>
      <c r="H134" s="36">
        <f t="shared" si="20"/>
        <v>61.658353149880966</v>
      </c>
      <c r="I134" s="37">
        <f ca="1">+IF(A134 &lt;= $L$2, (Full_Report!C214-'Internal Working'!C134),"")</f>
        <v>35.533431576106594</v>
      </c>
      <c r="J134" s="37">
        <f t="shared" ca="1" si="14"/>
        <v>4583.8126733177442</v>
      </c>
      <c r="K134" s="35" t="str">
        <f t="shared" ca="1" si="15"/>
        <v>0</v>
      </c>
      <c r="L134" s="35">
        <f t="shared" ca="1" si="13"/>
        <v>4583.8126733177442</v>
      </c>
      <c r="M134" s="2"/>
    </row>
    <row r="135" spans="1:13" x14ac:dyDescent="0.25">
      <c r="A135" s="1">
        <f>IF(OR(A134="",F134=0,A134=Refinance_Calculator!$C$29),"",A134+1)</f>
        <v>130</v>
      </c>
      <c r="B135" s="3">
        <f t="shared" si="16"/>
        <v>12303.39640435316</v>
      </c>
      <c r="C135" s="3">
        <f>IF(A135="","",(-PMT(Refinance_Calculator!$C$26/12,Refinance_Calculator!$C$29,Refinance_Calculator!$C$23,0,0)))</f>
        <v>89.932578772912834</v>
      </c>
      <c r="D135" s="3">
        <f t="shared" si="17"/>
        <v>61.516982021765813</v>
      </c>
      <c r="E135" s="3">
        <f>IF(A135="","",(-PPMT(Refinance_Calculator!$C$26/12,'Internal Working'!A135,Refinance_Calculator!$C$29,Refinance_Calculator!$C$23,0,0)))</f>
        <v>28.415596751147024</v>
      </c>
      <c r="F135" s="3">
        <f t="shared" si="18"/>
        <v>12274.980807602013</v>
      </c>
      <c r="G135" s="5">
        <f t="shared" si="19"/>
        <v>28.415596751147024</v>
      </c>
      <c r="H135" s="36">
        <f t="shared" si="20"/>
        <v>61.516982021765813</v>
      </c>
      <c r="I135" s="37">
        <f ca="1">+IF(A135 &lt;= $L$2, (Full_Report!C215-'Internal Working'!C135),"")</f>
        <v>35.533431576106594</v>
      </c>
      <c r="J135" s="37">
        <f t="shared" ca="1" si="14"/>
        <v>4619.3461048938507</v>
      </c>
      <c r="K135" s="35" t="str">
        <f t="shared" ca="1" si="15"/>
        <v>0</v>
      </c>
      <c r="L135" s="35">
        <f t="shared" ref="L135:L198" ca="1" si="21">+IF(A135 = "","",(J135+K135))</f>
        <v>4619.3461048938507</v>
      </c>
      <c r="M135" s="2"/>
    </row>
    <row r="136" spans="1:13" x14ac:dyDescent="0.25">
      <c r="A136" s="1">
        <f>IF(OR(A135="",F135=0,A135=Refinance_Calculator!$C$29),"",A135+1)</f>
        <v>131</v>
      </c>
      <c r="B136" s="3">
        <f t="shared" si="16"/>
        <v>12274.980807602013</v>
      </c>
      <c r="C136" s="3">
        <f>IF(A136="","",(-PMT(Refinance_Calculator!$C$26/12,Refinance_Calculator!$C$29,Refinance_Calculator!$C$23,0,0)))</f>
        <v>89.932578772912834</v>
      </c>
      <c r="D136" s="3">
        <f t="shared" si="17"/>
        <v>61.374904038010072</v>
      </c>
      <c r="E136" s="3">
        <f>IF(A136="","",(-PPMT(Refinance_Calculator!$C$26/12,'Internal Working'!A136,Refinance_Calculator!$C$29,Refinance_Calculator!$C$23,0,0)))</f>
        <v>28.557674734902758</v>
      </c>
      <c r="F136" s="3">
        <f t="shared" si="18"/>
        <v>12246.42313286711</v>
      </c>
      <c r="G136" s="5">
        <f t="shared" si="19"/>
        <v>28.557674734902758</v>
      </c>
      <c r="H136" s="36">
        <f t="shared" si="20"/>
        <v>61.374904038010072</v>
      </c>
      <c r="I136" s="37">
        <f ca="1">+IF(A136 &lt;= $L$2, (Full_Report!C216-'Internal Working'!C136),"")</f>
        <v>35.533431576106594</v>
      </c>
      <c r="J136" s="37">
        <f t="shared" ref="J136:J199" ca="1" si="22">IF(I136="","0",(I136+J135))</f>
        <v>4654.8795364699572</v>
      </c>
      <c r="K136" s="35" t="str">
        <f t="shared" ref="K136:K199" ca="1" si="23">+IF(A136="","0",IF(A136&gt;$L$2,(K135-C136),"0"))</f>
        <v>0</v>
      </c>
      <c r="L136" s="35">
        <f t="shared" ca="1" si="21"/>
        <v>4654.8795364699572</v>
      </c>
      <c r="M136" s="2"/>
    </row>
    <row r="137" spans="1:13" x14ac:dyDescent="0.25">
      <c r="A137" s="1">
        <f>IF(OR(A136="",F136=0,A136=Refinance_Calculator!$C$29),"",A136+1)</f>
        <v>132</v>
      </c>
      <c r="B137" s="3">
        <f t="shared" si="16"/>
        <v>12246.42313286711</v>
      </c>
      <c r="C137" s="3">
        <f>IF(A137="","",(-PMT(Refinance_Calculator!$C$26/12,Refinance_Calculator!$C$29,Refinance_Calculator!$C$23,0,0)))</f>
        <v>89.932578772912834</v>
      </c>
      <c r="D137" s="3">
        <f t="shared" si="17"/>
        <v>61.232115664335566</v>
      </c>
      <c r="E137" s="3">
        <f>IF(A137="","",(-PPMT(Refinance_Calculator!$C$26/12,'Internal Working'!A137,Refinance_Calculator!$C$29,Refinance_Calculator!$C$23,0,0)))</f>
        <v>28.700463108577271</v>
      </c>
      <c r="F137" s="3">
        <f t="shared" si="18"/>
        <v>12217.722669758534</v>
      </c>
      <c r="G137" s="5">
        <f t="shared" si="19"/>
        <v>28.700463108577271</v>
      </c>
      <c r="H137" s="36">
        <f t="shared" si="20"/>
        <v>61.232115664335566</v>
      </c>
      <c r="I137" s="37">
        <f ca="1">+IF(A137 &lt;= $L$2, (Full_Report!C217-'Internal Working'!C137),"")</f>
        <v>35.533431576106594</v>
      </c>
      <c r="J137" s="37">
        <f t="shared" ca="1" si="22"/>
        <v>4690.4129680460637</v>
      </c>
      <c r="K137" s="35" t="str">
        <f t="shared" ca="1" si="23"/>
        <v>0</v>
      </c>
      <c r="L137" s="35">
        <f t="shared" ca="1" si="21"/>
        <v>4690.4129680460637</v>
      </c>
      <c r="M137" s="2"/>
    </row>
    <row r="138" spans="1:13" x14ac:dyDescent="0.25">
      <c r="A138" s="1">
        <f>IF(OR(A137="",F137=0,A137=Refinance_Calculator!$C$29),"",A137+1)</f>
        <v>133</v>
      </c>
      <c r="B138" s="3">
        <f t="shared" si="16"/>
        <v>12217.722669758534</v>
      </c>
      <c r="C138" s="3">
        <f>IF(A138="","",(-PMT(Refinance_Calculator!$C$26/12,Refinance_Calculator!$C$29,Refinance_Calculator!$C$23,0,0)))</f>
        <v>89.932578772912834</v>
      </c>
      <c r="D138" s="3">
        <f t="shared" si="17"/>
        <v>61.088613348792677</v>
      </c>
      <c r="E138" s="3">
        <f>IF(A138="","",(-PPMT(Refinance_Calculator!$C$26/12,'Internal Working'!A138,Refinance_Calculator!$C$29,Refinance_Calculator!$C$23,0,0)))</f>
        <v>28.84396542412016</v>
      </c>
      <c r="F138" s="3">
        <f t="shared" si="18"/>
        <v>12188.878704334413</v>
      </c>
      <c r="G138" s="5">
        <f t="shared" si="19"/>
        <v>28.84396542412016</v>
      </c>
      <c r="H138" s="36">
        <f t="shared" si="20"/>
        <v>61.088613348792677</v>
      </c>
      <c r="I138" s="37">
        <f ca="1">+IF(A138 &lt;= $L$2, (Full_Report!C218-'Internal Working'!C138),"")</f>
        <v>35.533431576106594</v>
      </c>
      <c r="J138" s="37">
        <f t="shared" ca="1" si="22"/>
        <v>4725.9463996221702</v>
      </c>
      <c r="K138" s="35" t="str">
        <f t="shared" ca="1" si="23"/>
        <v>0</v>
      </c>
      <c r="L138" s="35">
        <f t="shared" ca="1" si="21"/>
        <v>4725.9463996221702</v>
      </c>
      <c r="M138" s="2"/>
    </row>
    <row r="139" spans="1:13" x14ac:dyDescent="0.25">
      <c r="A139" s="1">
        <f>IF(OR(A138="",F138=0,A138=Refinance_Calculator!$C$29),"",A138+1)</f>
        <v>134</v>
      </c>
      <c r="B139" s="3">
        <f t="shared" si="16"/>
        <v>12188.878704334413</v>
      </c>
      <c r="C139" s="3">
        <f>IF(A139="","",(-PMT(Refinance_Calculator!$C$26/12,Refinance_Calculator!$C$29,Refinance_Calculator!$C$23,0,0)))</f>
        <v>89.932578772912834</v>
      </c>
      <c r="D139" s="3">
        <f t="shared" si="17"/>
        <v>60.944393521672076</v>
      </c>
      <c r="E139" s="3">
        <f>IF(A139="","",(-PPMT(Refinance_Calculator!$C$26/12,'Internal Working'!A139,Refinance_Calculator!$C$29,Refinance_Calculator!$C$23,0,0)))</f>
        <v>28.988185251240758</v>
      </c>
      <c r="F139" s="3">
        <f t="shared" si="18"/>
        <v>12159.890519083172</v>
      </c>
      <c r="G139" s="5">
        <f t="shared" si="19"/>
        <v>28.988185251240758</v>
      </c>
      <c r="H139" s="36">
        <f t="shared" si="20"/>
        <v>60.944393521672076</v>
      </c>
      <c r="I139" s="37">
        <f ca="1">+IF(A139 &lt;= $L$2, (Full_Report!C219-'Internal Working'!C139),"")</f>
        <v>35.533431576106594</v>
      </c>
      <c r="J139" s="37">
        <f t="shared" ca="1" si="22"/>
        <v>4761.4798311982768</v>
      </c>
      <c r="K139" s="35" t="str">
        <f t="shared" ca="1" si="23"/>
        <v>0</v>
      </c>
      <c r="L139" s="35">
        <f t="shared" ca="1" si="21"/>
        <v>4761.4798311982768</v>
      </c>
      <c r="M139" s="2"/>
    </row>
    <row r="140" spans="1:13" x14ac:dyDescent="0.25">
      <c r="A140" s="1">
        <f>IF(OR(A139="",F139=0,A139=Refinance_Calculator!$C$29),"",A139+1)</f>
        <v>135</v>
      </c>
      <c r="B140" s="3">
        <f t="shared" si="16"/>
        <v>12159.890519083172</v>
      </c>
      <c r="C140" s="3">
        <f>IF(A140="","",(-PMT(Refinance_Calculator!$C$26/12,Refinance_Calculator!$C$29,Refinance_Calculator!$C$23,0,0)))</f>
        <v>89.932578772912834</v>
      </c>
      <c r="D140" s="3">
        <f t="shared" si="17"/>
        <v>60.799452595415872</v>
      </c>
      <c r="E140" s="3">
        <f>IF(A140="","",(-PPMT(Refinance_Calculator!$C$26/12,'Internal Working'!A140,Refinance_Calculator!$C$29,Refinance_Calculator!$C$23,0,0)))</f>
        <v>29.133126177496965</v>
      </c>
      <c r="F140" s="3">
        <f t="shared" si="18"/>
        <v>12130.757392905674</v>
      </c>
      <c r="G140" s="5">
        <f t="shared" si="19"/>
        <v>29.133126177496965</v>
      </c>
      <c r="H140" s="36">
        <f t="shared" si="20"/>
        <v>60.799452595415872</v>
      </c>
      <c r="I140" s="37">
        <f ca="1">+IF(A140 &lt;= $L$2, (Full_Report!C220-'Internal Working'!C140),"")</f>
        <v>35.533431576106594</v>
      </c>
      <c r="J140" s="37">
        <f t="shared" ca="1" si="22"/>
        <v>4797.0132627743833</v>
      </c>
      <c r="K140" s="35" t="str">
        <f t="shared" ca="1" si="23"/>
        <v>0</v>
      </c>
      <c r="L140" s="35">
        <f t="shared" ca="1" si="21"/>
        <v>4797.0132627743833</v>
      </c>
      <c r="M140" s="2"/>
    </row>
    <row r="141" spans="1:13" x14ac:dyDescent="0.25">
      <c r="A141" s="1">
        <f>IF(OR(A140="",F140=0,A140=Refinance_Calculator!$C$29),"",A140+1)</f>
        <v>136</v>
      </c>
      <c r="B141" s="3">
        <f t="shared" si="16"/>
        <v>12130.757392905674</v>
      </c>
      <c r="C141" s="3">
        <f>IF(A141="","",(-PMT(Refinance_Calculator!$C$26/12,Refinance_Calculator!$C$29,Refinance_Calculator!$C$23,0,0)))</f>
        <v>89.932578772912834</v>
      </c>
      <c r="D141" s="3">
        <f t="shared" si="17"/>
        <v>60.653786964528379</v>
      </c>
      <c r="E141" s="3">
        <f>IF(A141="","",(-PPMT(Refinance_Calculator!$C$26/12,'Internal Working'!A141,Refinance_Calculator!$C$29,Refinance_Calculator!$C$23,0,0)))</f>
        <v>29.278791808384451</v>
      </c>
      <c r="F141" s="3">
        <f t="shared" si="18"/>
        <v>12101.478601097289</v>
      </c>
      <c r="G141" s="5">
        <f t="shared" si="19"/>
        <v>29.278791808384451</v>
      </c>
      <c r="H141" s="36">
        <f t="shared" si="20"/>
        <v>60.653786964528379</v>
      </c>
      <c r="I141" s="37">
        <f ca="1">+IF(A141 &lt;= $L$2, (Full_Report!C221-'Internal Working'!C141),"")</f>
        <v>35.533431576106594</v>
      </c>
      <c r="J141" s="37">
        <f t="shared" ca="1" si="22"/>
        <v>4832.5466943504898</v>
      </c>
      <c r="K141" s="35" t="str">
        <f t="shared" ca="1" si="23"/>
        <v>0</v>
      </c>
      <c r="L141" s="35">
        <f t="shared" ca="1" si="21"/>
        <v>4832.5466943504898</v>
      </c>
      <c r="M141" s="2"/>
    </row>
    <row r="142" spans="1:13" x14ac:dyDescent="0.25">
      <c r="A142" s="1">
        <f>IF(OR(A141="",F141=0,A141=Refinance_Calculator!$C$29),"",A141+1)</f>
        <v>137</v>
      </c>
      <c r="B142" s="3">
        <f t="shared" si="16"/>
        <v>12101.478601097289</v>
      </c>
      <c r="C142" s="3">
        <f>IF(A142="","",(-PMT(Refinance_Calculator!$C$26/12,Refinance_Calculator!$C$29,Refinance_Calculator!$C$23,0,0)))</f>
        <v>89.932578772912834</v>
      </c>
      <c r="D142" s="3">
        <f t="shared" si="17"/>
        <v>60.507393005486463</v>
      </c>
      <c r="E142" s="3">
        <f>IF(A142="","",(-PPMT(Refinance_Calculator!$C$26/12,'Internal Working'!A142,Refinance_Calculator!$C$29,Refinance_Calculator!$C$23,0,0)))</f>
        <v>29.425185767426374</v>
      </c>
      <c r="F142" s="3">
        <f t="shared" si="18"/>
        <v>12072.053415329863</v>
      </c>
      <c r="G142" s="5">
        <f t="shared" si="19"/>
        <v>29.425185767426374</v>
      </c>
      <c r="H142" s="36">
        <f t="shared" si="20"/>
        <v>60.507393005486463</v>
      </c>
      <c r="I142" s="37">
        <f ca="1">+IF(A142 &lt;= $L$2, (Full_Report!C222-'Internal Working'!C142),"")</f>
        <v>35.533431576106594</v>
      </c>
      <c r="J142" s="37">
        <f t="shared" ca="1" si="22"/>
        <v>4868.0801259265963</v>
      </c>
      <c r="K142" s="35" t="str">
        <f t="shared" ca="1" si="23"/>
        <v>0</v>
      </c>
      <c r="L142" s="35">
        <f t="shared" ca="1" si="21"/>
        <v>4868.0801259265963</v>
      </c>
      <c r="M142" s="2"/>
    </row>
    <row r="143" spans="1:13" x14ac:dyDescent="0.25">
      <c r="A143" s="1">
        <f>IF(OR(A142="",F142=0,A142=Refinance_Calculator!$C$29),"",A142+1)</f>
        <v>138</v>
      </c>
      <c r="B143" s="3">
        <f t="shared" si="16"/>
        <v>12072.053415329863</v>
      </c>
      <c r="C143" s="3">
        <f>IF(A143="","",(-PMT(Refinance_Calculator!$C$26/12,Refinance_Calculator!$C$29,Refinance_Calculator!$C$23,0,0)))</f>
        <v>89.932578772912834</v>
      </c>
      <c r="D143" s="3">
        <f t="shared" si="17"/>
        <v>60.360267076649329</v>
      </c>
      <c r="E143" s="3">
        <f>IF(A143="","",(-PPMT(Refinance_Calculator!$C$26/12,'Internal Working'!A143,Refinance_Calculator!$C$29,Refinance_Calculator!$C$23,0,0)))</f>
        <v>29.572311696263505</v>
      </c>
      <c r="F143" s="3">
        <f t="shared" si="18"/>
        <v>12042.4811036336</v>
      </c>
      <c r="G143" s="5">
        <f t="shared" si="19"/>
        <v>29.572311696263505</v>
      </c>
      <c r="H143" s="36">
        <f t="shared" si="20"/>
        <v>60.360267076649329</v>
      </c>
      <c r="I143" s="37">
        <f ca="1">+IF(A143 &lt;= $L$2, (Full_Report!C223-'Internal Working'!C143),"")</f>
        <v>35.533431576106594</v>
      </c>
      <c r="J143" s="37">
        <f t="shared" ca="1" si="22"/>
        <v>4903.6135575027029</v>
      </c>
      <c r="K143" s="35" t="str">
        <f t="shared" ca="1" si="23"/>
        <v>0</v>
      </c>
      <c r="L143" s="35">
        <f t="shared" ca="1" si="21"/>
        <v>4903.6135575027029</v>
      </c>
      <c r="M143" s="2"/>
    </row>
    <row r="144" spans="1:13" x14ac:dyDescent="0.25">
      <c r="A144" s="1">
        <f>IF(OR(A143="",F143=0,A143=Refinance_Calculator!$C$29),"",A143+1)</f>
        <v>139</v>
      </c>
      <c r="B144" s="3">
        <f t="shared" si="16"/>
        <v>12042.4811036336</v>
      </c>
      <c r="C144" s="3">
        <f>IF(A144="","",(-PMT(Refinance_Calculator!$C$26/12,Refinance_Calculator!$C$29,Refinance_Calculator!$C$23,0,0)))</f>
        <v>89.932578772912834</v>
      </c>
      <c r="D144" s="3">
        <f t="shared" si="17"/>
        <v>60.212405518168012</v>
      </c>
      <c r="E144" s="3">
        <f>IF(A144="","",(-PPMT(Refinance_Calculator!$C$26/12,'Internal Working'!A144,Refinance_Calculator!$C$29,Refinance_Calculator!$C$23,0,0)))</f>
        <v>29.720173254744822</v>
      </c>
      <c r="F144" s="3">
        <f t="shared" si="18"/>
        <v>12012.760930378854</v>
      </c>
      <c r="G144" s="5">
        <f t="shared" si="19"/>
        <v>29.720173254744822</v>
      </c>
      <c r="H144" s="36">
        <f t="shared" si="20"/>
        <v>60.212405518168012</v>
      </c>
      <c r="I144" s="37">
        <f ca="1">+IF(A144 &lt;= $L$2, (Full_Report!C224-'Internal Working'!C144),"")</f>
        <v>35.533431576106594</v>
      </c>
      <c r="J144" s="37">
        <f t="shared" ca="1" si="22"/>
        <v>4939.1469890788094</v>
      </c>
      <c r="K144" s="35" t="str">
        <f t="shared" ca="1" si="23"/>
        <v>0</v>
      </c>
      <c r="L144" s="35">
        <f t="shared" ca="1" si="21"/>
        <v>4939.1469890788094</v>
      </c>
      <c r="M144" s="2"/>
    </row>
    <row r="145" spans="1:13" x14ac:dyDescent="0.25">
      <c r="A145" s="1">
        <f>IF(OR(A144="",F144=0,A144=Refinance_Calculator!$C$29),"",A144+1)</f>
        <v>140</v>
      </c>
      <c r="B145" s="3">
        <f t="shared" si="16"/>
        <v>12012.760930378854</v>
      </c>
      <c r="C145" s="3">
        <f>IF(A145="","",(-PMT(Refinance_Calculator!$C$26/12,Refinance_Calculator!$C$29,Refinance_Calculator!$C$23,0,0)))</f>
        <v>89.932578772912834</v>
      </c>
      <c r="D145" s="3">
        <f t="shared" si="17"/>
        <v>60.063804651894287</v>
      </c>
      <c r="E145" s="3">
        <f>IF(A145="","",(-PPMT(Refinance_Calculator!$C$26/12,'Internal Working'!A145,Refinance_Calculator!$C$29,Refinance_Calculator!$C$23,0,0)))</f>
        <v>29.868774121018543</v>
      </c>
      <c r="F145" s="3">
        <f t="shared" si="18"/>
        <v>11982.892156257836</v>
      </c>
      <c r="G145" s="5">
        <f t="shared" si="19"/>
        <v>29.868774121018543</v>
      </c>
      <c r="H145" s="36">
        <f t="shared" si="20"/>
        <v>60.063804651894287</v>
      </c>
      <c r="I145" s="37">
        <f ca="1">+IF(A145 &lt;= $L$2, (Full_Report!C225-'Internal Working'!C145),"")</f>
        <v>35.533431576106594</v>
      </c>
      <c r="J145" s="37">
        <f t="shared" ca="1" si="22"/>
        <v>4974.6804206549159</v>
      </c>
      <c r="K145" s="35" t="str">
        <f t="shared" ca="1" si="23"/>
        <v>0</v>
      </c>
      <c r="L145" s="35">
        <f t="shared" ca="1" si="21"/>
        <v>4974.6804206549159</v>
      </c>
      <c r="M145" s="2"/>
    </row>
    <row r="146" spans="1:13" x14ac:dyDescent="0.25">
      <c r="A146" s="1">
        <f>IF(OR(A145="",F145=0,A145=Refinance_Calculator!$C$29),"",A145+1)</f>
        <v>141</v>
      </c>
      <c r="B146" s="3">
        <f t="shared" ref="B146:B209" si="24">IF(A146="","",(F145))</f>
        <v>11982.892156257836</v>
      </c>
      <c r="C146" s="3">
        <f>IF(A146="","",(-PMT(Refinance_Calculator!$C$26/12,Refinance_Calculator!$C$29,Refinance_Calculator!$C$23,0,0)))</f>
        <v>89.932578772912834</v>
      </c>
      <c r="D146" s="3">
        <f t="shared" ref="D146:D209" si="25">+IF(A146="","",(C146-E146))</f>
        <v>59.914460781289193</v>
      </c>
      <c r="E146" s="3">
        <f>IF(A146="","",(-PPMT(Refinance_Calculator!$C$26/12,'Internal Working'!A146,Refinance_Calculator!$C$29,Refinance_Calculator!$C$23,0,0)))</f>
        <v>30.018117991623637</v>
      </c>
      <c r="F146" s="3">
        <f t="shared" ref="F146:F209" si="26">+IF(A146="","",(B146-E146))</f>
        <v>11952.874038266213</v>
      </c>
      <c r="G146" s="5">
        <f t="shared" ref="G146:G209" si="27">+E146</f>
        <v>30.018117991623637</v>
      </c>
      <c r="H146" s="36">
        <f t="shared" ref="H146:H209" si="28">+D146</f>
        <v>59.914460781289193</v>
      </c>
      <c r="I146" s="37">
        <f ca="1">+IF(A146 &lt;= $L$2, (Full_Report!C226-'Internal Working'!C146),"")</f>
        <v>35.533431576106594</v>
      </c>
      <c r="J146" s="37">
        <f t="shared" ca="1" si="22"/>
        <v>5010.2138522310224</v>
      </c>
      <c r="K146" s="35" t="str">
        <f t="shared" ca="1" si="23"/>
        <v>0</v>
      </c>
      <c r="L146" s="35">
        <f t="shared" ca="1" si="21"/>
        <v>5010.2138522310224</v>
      </c>
      <c r="M146" s="2"/>
    </row>
    <row r="147" spans="1:13" x14ac:dyDescent="0.25">
      <c r="A147" s="1">
        <f>IF(OR(A146="",F146=0,A146=Refinance_Calculator!$C$29),"",A146+1)</f>
        <v>142</v>
      </c>
      <c r="B147" s="3">
        <f t="shared" si="24"/>
        <v>11952.874038266213</v>
      </c>
      <c r="C147" s="3">
        <f>IF(A147="","",(-PMT(Refinance_Calculator!$C$26/12,Refinance_Calculator!$C$29,Refinance_Calculator!$C$23,0,0)))</f>
        <v>89.932578772912834</v>
      </c>
      <c r="D147" s="3">
        <f t="shared" si="25"/>
        <v>59.764370191331082</v>
      </c>
      <c r="E147" s="3">
        <f>IF(A147="","",(-PPMT(Refinance_Calculator!$C$26/12,'Internal Working'!A147,Refinance_Calculator!$C$29,Refinance_Calculator!$C$23,0,0)))</f>
        <v>30.168208581581752</v>
      </c>
      <c r="F147" s="3">
        <f t="shared" si="26"/>
        <v>11922.705829684632</v>
      </c>
      <c r="G147" s="5">
        <f t="shared" si="27"/>
        <v>30.168208581581752</v>
      </c>
      <c r="H147" s="36">
        <f t="shared" si="28"/>
        <v>59.764370191331082</v>
      </c>
      <c r="I147" s="37">
        <f ca="1">+IF(A147 &lt;= $L$2, (Full_Report!C227-'Internal Working'!C147),"")</f>
        <v>35.533431576106594</v>
      </c>
      <c r="J147" s="37">
        <f t="shared" ca="1" si="22"/>
        <v>5045.747283807129</v>
      </c>
      <c r="K147" s="35" t="str">
        <f t="shared" ca="1" si="23"/>
        <v>0</v>
      </c>
      <c r="L147" s="35">
        <f t="shared" ca="1" si="21"/>
        <v>5045.747283807129</v>
      </c>
      <c r="M147" s="2"/>
    </row>
    <row r="148" spans="1:13" x14ac:dyDescent="0.25">
      <c r="A148" s="1">
        <f>IF(OR(A147="",F147=0,A147=Refinance_Calculator!$C$29),"",A147+1)</f>
        <v>143</v>
      </c>
      <c r="B148" s="3">
        <f t="shared" si="24"/>
        <v>11922.705829684632</v>
      </c>
      <c r="C148" s="3">
        <f>IF(A148="","",(-PMT(Refinance_Calculator!$C$26/12,Refinance_Calculator!$C$29,Refinance_Calculator!$C$23,0,0)))</f>
        <v>89.932578772912834</v>
      </c>
      <c r="D148" s="3">
        <f t="shared" si="25"/>
        <v>59.613529148423169</v>
      </c>
      <c r="E148" s="3">
        <f>IF(A148="","",(-PPMT(Refinance_Calculator!$C$26/12,'Internal Working'!A148,Refinance_Calculator!$C$29,Refinance_Calculator!$C$23,0,0)))</f>
        <v>30.319049624489661</v>
      </c>
      <c r="F148" s="3">
        <f t="shared" si="26"/>
        <v>11892.386780060142</v>
      </c>
      <c r="G148" s="5">
        <f t="shared" si="27"/>
        <v>30.319049624489661</v>
      </c>
      <c r="H148" s="36">
        <f t="shared" si="28"/>
        <v>59.613529148423169</v>
      </c>
      <c r="I148" s="37">
        <f ca="1">+IF(A148 &lt;= $L$2, (Full_Report!C228-'Internal Working'!C148),"")</f>
        <v>35.533431576106594</v>
      </c>
      <c r="J148" s="37">
        <f t="shared" ca="1" si="22"/>
        <v>5081.2807153832355</v>
      </c>
      <c r="K148" s="35" t="str">
        <f t="shared" ca="1" si="23"/>
        <v>0</v>
      </c>
      <c r="L148" s="35">
        <f t="shared" ca="1" si="21"/>
        <v>5081.2807153832355</v>
      </c>
      <c r="M148" s="2"/>
    </row>
    <row r="149" spans="1:13" x14ac:dyDescent="0.25">
      <c r="A149" s="1">
        <f>IF(OR(A148="",F148=0,A148=Refinance_Calculator!$C$29),"",A148+1)</f>
        <v>144</v>
      </c>
      <c r="B149" s="3">
        <f t="shared" si="24"/>
        <v>11892.386780060142</v>
      </c>
      <c r="C149" s="3">
        <f>IF(A149="","",(-PMT(Refinance_Calculator!$C$26/12,Refinance_Calculator!$C$29,Refinance_Calculator!$C$23,0,0)))</f>
        <v>89.932578772912834</v>
      </c>
      <c r="D149" s="3">
        <f t="shared" si="25"/>
        <v>59.461933900300721</v>
      </c>
      <c r="E149" s="3">
        <f>IF(A149="","",(-PPMT(Refinance_Calculator!$C$26/12,'Internal Working'!A149,Refinance_Calculator!$C$29,Refinance_Calculator!$C$23,0,0)))</f>
        <v>30.470644872612116</v>
      </c>
      <c r="F149" s="3">
        <f t="shared" si="26"/>
        <v>11861.91613518753</v>
      </c>
      <c r="G149" s="5">
        <f t="shared" si="27"/>
        <v>30.470644872612116</v>
      </c>
      <c r="H149" s="36">
        <f t="shared" si="28"/>
        <v>59.461933900300721</v>
      </c>
      <c r="I149" s="37">
        <f ca="1">+IF(A149 &lt;= $L$2, (Full_Report!C229-'Internal Working'!C149),"")</f>
        <v>35.533431576106594</v>
      </c>
      <c r="J149" s="37">
        <f t="shared" ca="1" si="22"/>
        <v>5116.814146959342</v>
      </c>
      <c r="K149" s="35" t="str">
        <f t="shared" ca="1" si="23"/>
        <v>0</v>
      </c>
      <c r="L149" s="35">
        <f t="shared" ca="1" si="21"/>
        <v>5116.814146959342</v>
      </c>
      <c r="M149" s="2"/>
    </row>
    <row r="150" spans="1:13" x14ac:dyDescent="0.25">
      <c r="A150" s="1">
        <f>IF(OR(A149="",F149=0,A149=Refinance_Calculator!$C$29),"",A149+1)</f>
        <v>145</v>
      </c>
      <c r="B150" s="3">
        <f t="shared" si="24"/>
        <v>11861.91613518753</v>
      </c>
      <c r="C150" s="3">
        <f>IF(A150="","",(-PMT(Refinance_Calculator!$C$26/12,Refinance_Calculator!$C$29,Refinance_Calculator!$C$23,0,0)))</f>
        <v>89.932578772912834</v>
      </c>
      <c r="D150" s="3">
        <f t="shared" si="25"/>
        <v>59.309580675937667</v>
      </c>
      <c r="E150" s="3">
        <f>IF(A150="","",(-PPMT(Refinance_Calculator!$C$26/12,'Internal Working'!A150,Refinance_Calculator!$C$29,Refinance_Calculator!$C$23,0,0)))</f>
        <v>30.62299809697517</v>
      </c>
      <c r="F150" s="3">
        <f t="shared" si="26"/>
        <v>11831.293137090555</v>
      </c>
      <c r="G150" s="5">
        <f t="shared" si="27"/>
        <v>30.62299809697517</v>
      </c>
      <c r="H150" s="36">
        <f t="shared" si="28"/>
        <v>59.309580675937667</v>
      </c>
      <c r="I150" s="37">
        <f ca="1">+IF(A150 &lt;= $L$2, (Full_Report!C230-'Internal Working'!C150),"")</f>
        <v>35.533431576106594</v>
      </c>
      <c r="J150" s="37">
        <f t="shared" ca="1" si="22"/>
        <v>5152.3475785354485</v>
      </c>
      <c r="K150" s="35" t="str">
        <f t="shared" ca="1" si="23"/>
        <v>0</v>
      </c>
      <c r="L150" s="35">
        <f t="shared" ca="1" si="21"/>
        <v>5152.3475785354485</v>
      </c>
      <c r="M150" s="2"/>
    </row>
    <row r="151" spans="1:13" x14ac:dyDescent="0.25">
      <c r="A151" s="1">
        <f>IF(OR(A150="",F150=0,A150=Refinance_Calculator!$C$29),"",A150+1)</f>
        <v>146</v>
      </c>
      <c r="B151" s="3">
        <f t="shared" si="24"/>
        <v>11831.293137090555</v>
      </c>
      <c r="C151" s="3">
        <f>IF(A151="","",(-PMT(Refinance_Calculator!$C$26/12,Refinance_Calculator!$C$29,Refinance_Calculator!$C$23,0,0)))</f>
        <v>89.932578772912834</v>
      </c>
      <c r="D151" s="3">
        <f t="shared" si="25"/>
        <v>59.156465685452787</v>
      </c>
      <c r="E151" s="3">
        <f>IF(A151="","",(-PPMT(Refinance_Calculator!$C$26/12,'Internal Working'!A151,Refinance_Calculator!$C$29,Refinance_Calculator!$C$23,0,0)))</f>
        <v>30.77611308746005</v>
      </c>
      <c r="F151" s="3">
        <f t="shared" si="26"/>
        <v>11800.517024003095</v>
      </c>
      <c r="G151" s="5">
        <f t="shared" si="27"/>
        <v>30.77611308746005</v>
      </c>
      <c r="H151" s="36">
        <f t="shared" si="28"/>
        <v>59.156465685452787</v>
      </c>
      <c r="I151" s="37">
        <f ca="1">+IF(A151 &lt;= $L$2, (Full_Report!C231-'Internal Working'!C151),"")</f>
        <v>35.533431576106594</v>
      </c>
      <c r="J151" s="37">
        <f t="shared" ca="1" si="22"/>
        <v>5187.881010111555</v>
      </c>
      <c r="K151" s="35" t="str">
        <f t="shared" ca="1" si="23"/>
        <v>0</v>
      </c>
      <c r="L151" s="35">
        <f t="shared" ca="1" si="21"/>
        <v>5187.881010111555</v>
      </c>
      <c r="M151" s="2"/>
    </row>
    <row r="152" spans="1:13" x14ac:dyDescent="0.25">
      <c r="A152" s="1">
        <f>IF(OR(A151="",F151=0,A151=Refinance_Calculator!$C$29),"",A151+1)</f>
        <v>147</v>
      </c>
      <c r="B152" s="3">
        <f t="shared" si="24"/>
        <v>11800.517024003095</v>
      </c>
      <c r="C152" s="3">
        <f>IF(A152="","",(-PMT(Refinance_Calculator!$C$26/12,Refinance_Calculator!$C$29,Refinance_Calculator!$C$23,0,0)))</f>
        <v>89.932578772912834</v>
      </c>
      <c r="D152" s="3">
        <f t="shared" si="25"/>
        <v>59.002585120015482</v>
      </c>
      <c r="E152" s="3">
        <f>IF(A152="","",(-PPMT(Refinance_Calculator!$C$26/12,'Internal Working'!A152,Refinance_Calculator!$C$29,Refinance_Calculator!$C$23,0,0)))</f>
        <v>30.929993652897348</v>
      </c>
      <c r="F152" s="3">
        <f t="shared" si="26"/>
        <v>11769.587030350198</v>
      </c>
      <c r="G152" s="5">
        <f t="shared" si="27"/>
        <v>30.929993652897348</v>
      </c>
      <c r="H152" s="36">
        <f t="shared" si="28"/>
        <v>59.002585120015482</v>
      </c>
      <c r="I152" s="37">
        <f ca="1">+IF(A152 &lt;= $L$2, (Full_Report!C232-'Internal Working'!C152),"")</f>
        <v>35.533431576106594</v>
      </c>
      <c r="J152" s="37">
        <f t="shared" ca="1" si="22"/>
        <v>5223.4144416876616</v>
      </c>
      <c r="K152" s="35" t="str">
        <f t="shared" ca="1" si="23"/>
        <v>0</v>
      </c>
      <c r="L152" s="35">
        <f t="shared" ca="1" si="21"/>
        <v>5223.4144416876616</v>
      </c>
      <c r="M152" s="2"/>
    </row>
    <row r="153" spans="1:13" x14ac:dyDescent="0.25">
      <c r="A153" s="1">
        <f>IF(OR(A152="",F152=0,A152=Refinance_Calculator!$C$29),"",A152+1)</f>
        <v>148</v>
      </c>
      <c r="B153" s="3">
        <f t="shared" si="24"/>
        <v>11769.587030350198</v>
      </c>
      <c r="C153" s="3">
        <f>IF(A153="","",(-PMT(Refinance_Calculator!$C$26/12,Refinance_Calculator!$C$29,Refinance_Calculator!$C$23,0,0)))</f>
        <v>89.932578772912834</v>
      </c>
      <c r="D153" s="3">
        <f t="shared" si="25"/>
        <v>58.847935151750988</v>
      </c>
      <c r="E153" s="3">
        <f>IF(A153="","",(-PPMT(Refinance_Calculator!$C$26/12,'Internal Working'!A153,Refinance_Calculator!$C$29,Refinance_Calculator!$C$23,0,0)))</f>
        <v>31.084643621161842</v>
      </c>
      <c r="F153" s="3">
        <f t="shared" si="26"/>
        <v>11738.502386729037</v>
      </c>
      <c r="G153" s="5">
        <f t="shared" si="27"/>
        <v>31.084643621161842</v>
      </c>
      <c r="H153" s="36">
        <f t="shared" si="28"/>
        <v>58.847935151750988</v>
      </c>
      <c r="I153" s="37">
        <f ca="1">+IF(A153 &lt;= $L$2, (Full_Report!C233-'Internal Working'!C153),"")</f>
        <v>35.533431576106594</v>
      </c>
      <c r="J153" s="37">
        <f t="shared" ca="1" si="22"/>
        <v>5258.9478732637681</v>
      </c>
      <c r="K153" s="35" t="str">
        <f t="shared" ca="1" si="23"/>
        <v>0</v>
      </c>
      <c r="L153" s="35">
        <f t="shared" ca="1" si="21"/>
        <v>5258.9478732637681</v>
      </c>
      <c r="M153" s="2"/>
    </row>
    <row r="154" spans="1:13" x14ac:dyDescent="0.25">
      <c r="A154" s="1">
        <f>IF(OR(A153="",F153=0,A153=Refinance_Calculator!$C$29),"",A153+1)</f>
        <v>149</v>
      </c>
      <c r="B154" s="3">
        <f t="shared" si="24"/>
        <v>11738.502386729037</v>
      </c>
      <c r="C154" s="3">
        <f>IF(A154="","",(-PMT(Refinance_Calculator!$C$26/12,Refinance_Calculator!$C$29,Refinance_Calculator!$C$23,0,0)))</f>
        <v>89.932578772912834</v>
      </c>
      <c r="D154" s="3">
        <f t="shared" si="25"/>
        <v>58.692511933645193</v>
      </c>
      <c r="E154" s="3">
        <f>IF(A154="","",(-PPMT(Refinance_Calculator!$C$26/12,'Internal Working'!A154,Refinance_Calculator!$C$29,Refinance_Calculator!$C$23,0,0)))</f>
        <v>31.240066839267644</v>
      </c>
      <c r="F154" s="3">
        <f t="shared" si="26"/>
        <v>11707.262319889769</v>
      </c>
      <c r="G154" s="5">
        <f t="shared" si="27"/>
        <v>31.240066839267644</v>
      </c>
      <c r="H154" s="36">
        <f t="shared" si="28"/>
        <v>58.692511933645193</v>
      </c>
      <c r="I154" s="37">
        <f ca="1">+IF(A154 &lt;= $L$2, (Full_Report!C234-'Internal Working'!C154),"")</f>
        <v>35.533431576106594</v>
      </c>
      <c r="J154" s="37">
        <f t="shared" ca="1" si="22"/>
        <v>5294.4813048398746</v>
      </c>
      <c r="K154" s="35" t="str">
        <f t="shared" ca="1" si="23"/>
        <v>0</v>
      </c>
      <c r="L154" s="35">
        <f t="shared" ca="1" si="21"/>
        <v>5294.4813048398746</v>
      </c>
      <c r="M154" s="2"/>
    </row>
    <row r="155" spans="1:13" x14ac:dyDescent="0.25">
      <c r="A155" s="1">
        <f>IF(OR(A154="",F154=0,A154=Refinance_Calculator!$C$29),"",A154+1)</f>
        <v>150</v>
      </c>
      <c r="B155" s="3">
        <f t="shared" si="24"/>
        <v>11707.262319889769</v>
      </c>
      <c r="C155" s="3">
        <f>IF(A155="","",(-PMT(Refinance_Calculator!$C$26/12,Refinance_Calculator!$C$29,Refinance_Calculator!$C$23,0,0)))</f>
        <v>89.932578772912834</v>
      </c>
      <c r="D155" s="3">
        <f t="shared" si="25"/>
        <v>58.536311599448844</v>
      </c>
      <c r="E155" s="3">
        <f>IF(A155="","",(-PPMT(Refinance_Calculator!$C$26/12,'Internal Working'!A155,Refinance_Calculator!$C$29,Refinance_Calculator!$C$23,0,0)))</f>
        <v>31.39626717346399</v>
      </c>
      <c r="F155" s="3">
        <f t="shared" si="26"/>
        <v>11675.866052716305</v>
      </c>
      <c r="G155" s="5">
        <f t="shared" si="27"/>
        <v>31.39626717346399</v>
      </c>
      <c r="H155" s="36">
        <f t="shared" si="28"/>
        <v>58.536311599448844</v>
      </c>
      <c r="I155" s="37">
        <f ca="1">+IF(A155 &lt;= $L$2, (Full_Report!C235-'Internal Working'!C155),"")</f>
        <v>35.533431576106594</v>
      </c>
      <c r="J155" s="37">
        <f t="shared" ca="1" si="22"/>
        <v>5330.0147364159811</v>
      </c>
      <c r="K155" s="35" t="str">
        <f t="shared" ca="1" si="23"/>
        <v>0</v>
      </c>
      <c r="L155" s="35">
        <f t="shared" ca="1" si="21"/>
        <v>5330.0147364159811</v>
      </c>
      <c r="M155" s="2"/>
    </row>
    <row r="156" spans="1:13" x14ac:dyDescent="0.25">
      <c r="A156" s="1">
        <f>IF(OR(A155="",F155=0,A155=Refinance_Calculator!$C$29),"",A155+1)</f>
        <v>151</v>
      </c>
      <c r="B156" s="3">
        <f t="shared" si="24"/>
        <v>11675.866052716305</v>
      </c>
      <c r="C156" s="3">
        <f>IF(A156="","",(-PMT(Refinance_Calculator!$C$26/12,Refinance_Calculator!$C$29,Refinance_Calculator!$C$23,0,0)))</f>
        <v>89.932578772912834</v>
      </c>
      <c r="D156" s="3">
        <f t="shared" si="25"/>
        <v>58.379330263581537</v>
      </c>
      <c r="E156" s="3">
        <f>IF(A156="","",(-PPMT(Refinance_Calculator!$C$26/12,'Internal Working'!A156,Refinance_Calculator!$C$29,Refinance_Calculator!$C$23,0,0)))</f>
        <v>31.553248509331301</v>
      </c>
      <c r="F156" s="3">
        <f t="shared" si="26"/>
        <v>11644.312804206973</v>
      </c>
      <c r="G156" s="5">
        <f t="shared" si="27"/>
        <v>31.553248509331301</v>
      </c>
      <c r="H156" s="36">
        <f t="shared" si="28"/>
        <v>58.379330263581537</v>
      </c>
      <c r="I156" s="37">
        <f ca="1">+IF(A156 &lt;= $L$2, (Full_Report!C236-'Internal Working'!C156),"")</f>
        <v>35.533431576106594</v>
      </c>
      <c r="J156" s="37">
        <f t="shared" ca="1" si="22"/>
        <v>5365.5481679920877</v>
      </c>
      <c r="K156" s="35" t="str">
        <f t="shared" ca="1" si="23"/>
        <v>0</v>
      </c>
      <c r="L156" s="35">
        <f t="shared" ca="1" si="21"/>
        <v>5365.5481679920877</v>
      </c>
      <c r="M156" s="2"/>
    </row>
    <row r="157" spans="1:13" x14ac:dyDescent="0.25">
      <c r="A157" s="1">
        <f>IF(OR(A156="",F156=0,A156=Refinance_Calculator!$C$29),"",A156+1)</f>
        <v>152</v>
      </c>
      <c r="B157" s="3">
        <f t="shared" si="24"/>
        <v>11644.312804206973</v>
      </c>
      <c r="C157" s="3">
        <f>IF(A157="","",(-PMT(Refinance_Calculator!$C$26/12,Refinance_Calculator!$C$29,Refinance_Calculator!$C$23,0,0)))</f>
        <v>89.932578772912834</v>
      </c>
      <c r="D157" s="3">
        <f t="shared" si="25"/>
        <v>58.221564021034879</v>
      </c>
      <c r="E157" s="3">
        <f>IF(A157="","",(-PPMT(Refinance_Calculator!$C$26/12,'Internal Working'!A157,Refinance_Calculator!$C$29,Refinance_Calculator!$C$23,0,0)))</f>
        <v>31.711014751877958</v>
      </c>
      <c r="F157" s="3">
        <f t="shared" si="26"/>
        <v>11612.601789455095</v>
      </c>
      <c r="G157" s="5">
        <f t="shared" si="27"/>
        <v>31.711014751877958</v>
      </c>
      <c r="H157" s="36">
        <f t="shared" si="28"/>
        <v>58.221564021034879</v>
      </c>
      <c r="I157" s="37">
        <f ca="1">+IF(A157 &lt;= $L$2, (Full_Report!C237-'Internal Working'!C157),"")</f>
        <v>35.533431576106594</v>
      </c>
      <c r="J157" s="37">
        <f t="shared" ca="1" si="22"/>
        <v>5401.0815995681942</v>
      </c>
      <c r="K157" s="35" t="str">
        <f t="shared" ca="1" si="23"/>
        <v>0</v>
      </c>
      <c r="L157" s="35">
        <f t="shared" ca="1" si="21"/>
        <v>5401.0815995681942</v>
      </c>
      <c r="M157" s="2"/>
    </row>
    <row r="158" spans="1:13" x14ac:dyDescent="0.25">
      <c r="A158" s="1">
        <f>IF(OR(A157="",F157=0,A157=Refinance_Calculator!$C$29),"",A157+1)</f>
        <v>153</v>
      </c>
      <c r="B158" s="3">
        <f t="shared" si="24"/>
        <v>11612.601789455095</v>
      </c>
      <c r="C158" s="3">
        <f>IF(A158="","",(-PMT(Refinance_Calculator!$C$26/12,Refinance_Calculator!$C$29,Refinance_Calculator!$C$23,0,0)))</f>
        <v>89.932578772912834</v>
      </c>
      <c r="D158" s="3">
        <f t="shared" si="25"/>
        <v>58.063008947275485</v>
      </c>
      <c r="E158" s="3">
        <f>IF(A158="","",(-PPMT(Refinance_Calculator!$C$26/12,'Internal Working'!A158,Refinance_Calculator!$C$29,Refinance_Calculator!$C$23,0,0)))</f>
        <v>31.869569825637349</v>
      </c>
      <c r="F158" s="3">
        <f t="shared" si="26"/>
        <v>11580.732219629457</v>
      </c>
      <c r="G158" s="5">
        <f t="shared" si="27"/>
        <v>31.869569825637349</v>
      </c>
      <c r="H158" s="36">
        <f t="shared" si="28"/>
        <v>58.063008947275485</v>
      </c>
      <c r="I158" s="37">
        <f ca="1">+IF(A158 &lt;= $L$2, (Full_Report!C238-'Internal Working'!C158),"")</f>
        <v>35.533431576106594</v>
      </c>
      <c r="J158" s="37">
        <f t="shared" ca="1" si="22"/>
        <v>5436.6150311443007</v>
      </c>
      <c r="K158" s="35" t="str">
        <f t="shared" ca="1" si="23"/>
        <v>0</v>
      </c>
      <c r="L158" s="35">
        <f t="shared" ca="1" si="21"/>
        <v>5436.6150311443007</v>
      </c>
      <c r="M158" s="2"/>
    </row>
    <row r="159" spans="1:13" x14ac:dyDescent="0.25">
      <c r="A159" s="1">
        <f>IF(OR(A158="",F158=0,A158=Refinance_Calculator!$C$29),"",A158+1)</f>
        <v>154</v>
      </c>
      <c r="B159" s="3">
        <f t="shared" si="24"/>
        <v>11580.732219629457</v>
      </c>
      <c r="C159" s="3">
        <f>IF(A159="","",(-PMT(Refinance_Calculator!$C$26/12,Refinance_Calculator!$C$29,Refinance_Calculator!$C$23,0,0)))</f>
        <v>89.932578772912834</v>
      </c>
      <c r="D159" s="3">
        <f t="shared" si="25"/>
        <v>57.903661098147303</v>
      </c>
      <c r="E159" s="3">
        <f>IF(A159="","",(-PPMT(Refinance_Calculator!$C$26/12,'Internal Working'!A159,Refinance_Calculator!$C$29,Refinance_Calculator!$C$23,0,0)))</f>
        <v>32.02891767476553</v>
      </c>
      <c r="F159" s="3">
        <f t="shared" si="26"/>
        <v>11548.703301954693</v>
      </c>
      <c r="G159" s="5">
        <f t="shared" si="27"/>
        <v>32.02891767476553</v>
      </c>
      <c r="H159" s="36">
        <f t="shared" si="28"/>
        <v>57.903661098147303</v>
      </c>
      <c r="I159" s="37">
        <f ca="1">+IF(A159 &lt;= $L$2, (Full_Report!C239-'Internal Working'!C159),"")</f>
        <v>35.533431576106594</v>
      </c>
      <c r="J159" s="37">
        <f t="shared" ca="1" si="22"/>
        <v>5472.1484627204072</v>
      </c>
      <c r="K159" s="35" t="str">
        <f t="shared" ca="1" si="23"/>
        <v>0</v>
      </c>
      <c r="L159" s="35">
        <f t="shared" ca="1" si="21"/>
        <v>5472.1484627204072</v>
      </c>
      <c r="M159" s="2"/>
    </row>
    <row r="160" spans="1:13" x14ac:dyDescent="0.25">
      <c r="A160" s="1">
        <f>IF(OR(A159="",F159=0,A159=Refinance_Calculator!$C$29),"",A159+1)</f>
        <v>155</v>
      </c>
      <c r="B160" s="3">
        <f t="shared" si="24"/>
        <v>11548.703301954693</v>
      </c>
      <c r="C160" s="3">
        <f>IF(A160="","",(-PMT(Refinance_Calculator!$C$26/12,Refinance_Calculator!$C$29,Refinance_Calculator!$C$23,0,0)))</f>
        <v>89.932578772912834</v>
      </c>
      <c r="D160" s="3">
        <f t="shared" si="25"/>
        <v>57.743516509773471</v>
      </c>
      <c r="E160" s="3">
        <f>IF(A160="","",(-PPMT(Refinance_Calculator!$C$26/12,'Internal Working'!A160,Refinance_Calculator!$C$29,Refinance_Calculator!$C$23,0,0)))</f>
        <v>32.189062263139363</v>
      </c>
      <c r="F160" s="3">
        <f t="shared" si="26"/>
        <v>11516.514239691553</v>
      </c>
      <c r="G160" s="5">
        <f t="shared" si="27"/>
        <v>32.189062263139363</v>
      </c>
      <c r="H160" s="36">
        <f t="shared" si="28"/>
        <v>57.743516509773471</v>
      </c>
      <c r="I160" s="37">
        <f ca="1">+IF(A160 &lt;= $L$2, (Full_Report!C240-'Internal Working'!C160),"")</f>
        <v>35.533431576106594</v>
      </c>
      <c r="J160" s="37">
        <f t="shared" ca="1" si="22"/>
        <v>5507.6818942965137</v>
      </c>
      <c r="K160" s="35" t="str">
        <f t="shared" ca="1" si="23"/>
        <v>0</v>
      </c>
      <c r="L160" s="35">
        <f t="shared" ca="1" si="21"/>
        <v>5507.6818942965137</v>
      </c>
      <c r="M160" s="2"/>
    </row>
    <row r="161" spans="1:13" x14ac:dyDescent="0.25">
      <c r="A161" s="1">
        <f>IF(OR(A160="",F160=0,A160=Refinance_Calculator!$C$29),"",A160+1)</f>
        <v>156</v>
      </c>
      <c r="B161" s="3">
        <f t="shared" si="24"/>
        <v>11516.514239691553</v>
      </c>
      <c r="C161" s="3">
        <f>IF(A161="","",(-PMT(Refinance_Calculator!$C$26/12,Refinance_Calculator!$C$29,Refinance_Calculator!$C$23,0,0)))</f>
        <v>89.932578772912834</v>
      </c>
      <c r="D161" s="3">
        <f t="shared" si="25"/>
        <v>57.582571198457771</v>
      </c>
      <c r="E161" s="3">
        <f>IF(A161="","",(-PPMT(Refinance_Calculator!$C$26/12,'Internal Working'!A161,Refinance_Calculator!$C$29,Refinance_Calculator!$C$23,0,0)))</f>
        <v>32.350007574455063</v>
      </c>
      <c r="F161" s="3">
        <f t="shared" si="26"/>
        <v>11484.164232117097</v>
      </c>
      <c r="G161" s="5">
        <f t="shared" si="27"/>
        <v>32.350007574455063</v>
      </c>
      <c r="H161" s="36">
        <f t="shared" si="28"/>
        <v>57.582571198457771</v>
      </c>
      <c r="I161" s="37">
        <f ca="1">+IF(A161 &lt;= $L$2, (Full_Report!C241-'Internal Working'!C161),"")</f>
        <v>35.533431576106594</v>
      </c>
      <c r="J161" s="37">
        <f t="shared" ca="1" si="22"/>
        <v>5543.2153258726203</v>
      </c>
      <c r="K161" s="35" t="str">
        <f t="shared" ca="1" si="23"/>
        <v>0</v>
      </c>
      <c r="L161" s="35">
        <f t="shared" ca="1" si="21"/>
        <v>5543.2153258726203</v>
      </c>
      <c r="M161" s="2"/>
    </row>
    <row r="162" spans="1:13" x14ac:dyDescent="0.25">
      <c r="A162" s="1">
        <f>IF(OR(A161="",F161=0,A161=Refinance_Calculator!$C$29),"",A161+1)</f>
        <v>157</v>
      </c>
      <c r="B162" s="3">
        <f t="shared" si="24"/>
        <v>11484.164232117097</v>
      </c>
      <c r="C162" s="3">
        <f>IF(A162="","",(-PMT(Refinance_Calculator!$C$26/12,Refinance_Calculator!$C$29,Refinance_Calculator!$C$23,0,0)))</f>
        <v>89.932578772912834</v>
      </c>
      <c r="D162" s="3">
        <f t="shared" si="25"/>
        <v>57.420821160585497</v>
      </c>
      <c r="E162" s="3">
        <f>IF(A162="","",(-PPMT(Refinance_Calculator!$C$26/12,'Internal Working'!A162,Refinance_Calculator!$C$29,Refinance_Calculator!$C$23,0,0)))</f>
        <v>32.511757612327337</v>
      </c>
      <c r="F162" s="3">
        <f t="shared" si="26"/>
        <v>11451.65247450477</v>
      </c>
      <c r="G162" s="5">
        <f t="shared" si="27"/>
        <v>32.511757612327337</v>
      </c>
      <c r="H162" s="36">
        <f t="shared" si="28"/>
        <v>57.420821160585497</v>
      </c>
      <c r="I162" s="37">
        <f ca="1">+IF(A162 &lt;= $L$2, (Full_Report!C242-'Internal Working'!C162),"")</f>
        <v>35.533431576106594</v>
      </c>
      <c r="J162" s="37">
        <f t="shared" ca="1" si="22"/>
        <v>5578.7487574487268</v>
      </c>
      <c r="K162" s="35" t="str">
        <f t="shared" ca="1" si="23"/>
        <v>0</v>
      </c>
      <c r="L162" s="35">
        <f t="shared" ca="1" si="21"/>
        <v>5578.7487574487268</v>
      </c>
      <c r="M162" s="2"/>
    </row>
    <row r="163" spans="1:13" x14ac:dyDescent="0.25">
      <c r="A163" s="1">
        <f>IF(OR(A162="",F162=0,A162=Refinance_Calculator!$C$29),"",A162+1)</f>
        <v>158</v>
      </c>
      <c r="B163" s="3">
        <f t="shared" si="24"/>
        <v>11451.65247450477</v>
      </c>
      <c r="C163" s="3">
        <f>IF(A163="","",(-PMT(Refinance_Calculator!$C$26/12,Refinance_Calculator!$C$29,Refinance_Calculator!$C$23,0,0)))</f>
        <v>89.932578772912834</v>
      </c>
      <c r="D163" s="3">
        <f t="shared" si="25"/>
        <v>57.258262372523859</v>
      </c>
      <c r="E163" s="3">
        <f>IF(A163="","",(-PPMT(Refinance_Calculator!$C$26/12,'Internal Working'!A163,Refinance_Calculator!$C$29,Refinance_Calculator!$C$23,0,0)))</f>
        <v>32.674316400388975</v>
      </c>
      <c r="F163" s="3">
        <f t="shared" si="26"/>
        <v>11418.978158104381</v>
      </c>
      <c r="G163" s="5">
        <f t="shared" si="27"/>
        <v>32.674316400388975</v>
      </c>
      <c r="H163" s="36">
        <f t="shared" si="28"/>
        <v>57.258262372523859</v>
      </c>
      <c r="I163" s="37">
        <f ca="1">+IF(A163 &lt;= $L$2, (Full_Report!C243-'Internal Working'!C163),"")</f>
        <v>35.533431576106594</v>
      </c>
      <c r="J163" s="37">
        <f t="shared" ca="1" si="22"/>
        <v>5614.2821890248333</v>
      </c>
      <c r="K163" s="35" t="str">
        <f t="shared" ca="1" si="23"/>
        <v>0</v>
      </c>
      <c r="L163" s="35">
        <f t="shared" ca="1" si="21"/>
        <v>5614.2821890248333</v>
      </c>
      <c r="M163" s="2"/>
    </row>
    <row r="164" spans="1:13" x14ac:dyDescent="0.25">
      <c r="A164" s="1">
        <f>IF(OR(A163="",F163=0,A163=Refinance_Calculator!$C$29),"",A163+1)</f>
        <v>159</v>
      </c>
      <c r="B164" s="3">
        <f t="shared" si="24"/>
        <v>11418.978158104381</v>
      </c>
      <c r="C164" s="3">
        <f>IF(A164="","",(-PMT(Refinance_Calculator!$C$26/12,Refinance_Calculator!$C$29,Refinance_Calculator!$C$23,0,0)))</f>
        <v>89.932578772912834</v>
      </c>
      <c r="D164" s="3">
        <f t="shared" si="25"/>
        <v>57.094890790521909</v>
      </c>
      <c r="E164" s="3">
        <f>IF(A164="","",(-PPMT(Refinance_Calculator!$C$26/12,'Internal Working'!A164,Refinance_Calculator!$C$29,Refinance_Calculator!$C$23,0,0)))</f>
        <v>32.837687982390925</v>
      </c>
      <c r="F164" s="3">
        <f t="shared" si="26"/>
        <v>11386.140470121989</v>
      </c>
      <c r="G164" s="5">
        <f t="shared" si="27"/>
        <v>32.837687982390925</v>
      </c>
      <c r="H164" s="36">
        <f t="shared" si="28"/>
        <v>57.094890790521909</v>
      </c>
      <c r="I164" s="37">
        <f ca="1">+IF(A164 &lt;= $L$2, (Full_Report!C244-'Internal Working'!C164),"")</f>
        <v>35.533431576106594</v>
      </c>
      <c r="J164" s="37">
        <f t="shared" ca="1" si="22"/>
        <v>5649.8156206009398</v>
      </c>
      <c r="K164" s="35" t="str">
        <f t="shared" ca="1" si="23"/>
        <v>0</v>
      </c>
      <c r="L164" s="35">
        <f t="shared" ca="1" si="21"/>
        <v>5649.8156206009398</v>
      </c>
      <c r="M164" s="2"/>
    </row>
    <row r="165" spans="1:13" x14ac:dyDescent="0.25">
      <c r="A165" s="1">
        <f>IF(OR(A164="",F164=0,A164=Refinance_Calculator!$C$29),"",A164+1)</f>
        <v>160</v>
      </c>
      <c r="B165" s="3">
        <f t="shared" si="24"/>
        <v>11386.140470121989</v>
      </c>
      <c r="C165" s="3">
        <f>IF(A165="","",(-PMT(Refinance_Calculator!$C$26/12,Refinance_Calculator!$C$29,Refinance_Calculator!$C$23,0,0)))</f>
        <v>89.932578772912834</v>
      </c>
      <c r="D165" s="3">
        <f t="shared" si="25"/>
        <v>56.930702350609963</v>
      </c>
      <c r="E165" s="3">
        <f>IF(A165="","",(-PPMT(Refinance_Calculator!$C$26/12,'Internal Working'!A165,Refinance_Calculator!$C$29,Refinance_Calculator!$C$23,0,0)))</f>
        <v>33.001876422302871</v>
      </c>
      <c r="F165" s="3">
        <f t="shared" si="26"/>
        <v>11353.138593699687</v>
      </c>
      <c r="G165" s="5">
        <f t="shared" si="27"/>
        <v>33.001876422302871</v>
      </c>
      <c r="H165" s="36">
        <f t="shared" si="28"/>
        <v>56.930702350609963</v>
      </c>
      <c r="I165" s="37">
        <f ca="1">+IF(A165 &lt;= $L$2, (Full_Report!C245-'Internal Working'!C165),"")</f>
        <v>35.533431576106594</v>
      </c>
      <c r="J165" s="37">
        <f t="shared" ca="1" si="22"/>
        <v>5685.3490521770464</v>
      </c>
      <c r="K165" s="35" t="str">
        <f t="shared" ca="1" si="23"/>
        <v>0</v>
      </c>
      <c r="L165" s="35">
        <f t="shared" ca="1" si="21"/>
        <v>5685.3490521770464</v>
      </c>
      <c r="M165" s="2"/>
    </row>
    <row r="166" spans="1:13" x14ac:dyDescent="0.25">
      <c r="A166" s="1">
        <f>IF(OR(A165="",F165=0,A165=Refinance_Calculator!$C$29),"",A165+1)</f>
        <v>161</v>
      </c>
      <c r="B166" s="3">
        <f t="shared" si="24"/>
        <v>11353.138593699687</v>
      </c>
      <c r="C166" s="3">
        <f>IF(A166="","",(-PMT(Refinance_Calculator!$C$26/12,Refinance_Calculator!$C$29,Refinance_Calculator!$C$23,0,0)))</f>
        <v>89.932578772912834</v>
      </c>
      <c r="D166" s="3">
        <f t="shared" si="25"/>
        <v>56.765692968498449</v>
      </c>
      <c r="E166" s="3">
        <f>IF(A166="","",(-PPMT(Refinance_Calculator!$C$26/12,'Internal Working'!A166,Refinance_Calculator!$C$29,Refinance_Calculator!$C$23,0,0)))</f>
        <v>33.166885804414385</v>
      </c>
      <c r="F166" s="3">
        <f t="shared" si="26"/>
        <v>11319.971707895273</v>
      </c>
      <c r="G166" s="5">
        <f t="shared" si="27"/>
        <v>33.166885804414385</v>
      </c>
      <c r="H166" s="36">
        <f t="shared" si="28"/>
        <v>56.765692968498449</v>
      </c>
      <c r="I166" s="37">
        <f ca="1">+IF(A166 &lt;= $L$2, (Full_Report!C246-'Internal Working'!C166),"")</f>
        <v>35.533431576106594</v>
      </c>
      <c r="J166" s="37">
        <f t="shared" ca="1" si="22"/>
        <v>5720.8824837531529</v>
      </c>
      <c r="K166" s="35" t="str">
        <f t="shared" ca="1" si="23"/>
        <v>0</v>
      </c>
      <c r="L166" s="35">
        <f t="shared" ca="1" si="21"/>
        <v>5720.8824837531529</v>
      </c>
      <c r="M166" s="2"/>
    </row>
    <row r="167" spans="1:13" x14ac:dyDescent="0.25">
      <c r="A167" s="1">
        <f>IF(OR(A166="",F166=0,A166=Refinance_Calculator!$C$29),"",A166+1)</f>
        <v>162</v>
      </c>
      <c r="B167" s="3">
        <f t="shared" si="24"/>
        <v>11319.971707895273</v>
      </c>
      <c r="C167" s="3">
        <f>IF(A167="","",(-PMT(Refinance_Calculator!$C$26/12,Refinance_Calculator!$C$29,Refinance_Calculator!$C$23,0,0)))</f>
        <v>89.932578772912834</v>
      </c>
      <c r="D167" s="3">
        <f t="shared" si="25"/>
        <v>56.599858539476372</v>
      </c>
      <c r="E167" s="3">
        <f>IF(A167="","",(-PPMT(Refinance_Calculator!$C$26/12,'Internal Working'!A167,Refinance_Calculator!$C$29,Refinance_Calculator!$C$23,0,0)))</f>
        <v>33.332720233436461</v>
      </c>
      <c r="F167" s="3">
        <f t="shared" si="26"/>
        <v>11286.638987661836</v>
      </c>
      <c r="G167" s="5">
        <f t="shared" si="27"/>
        <v>33.332720233436461</v>
      </c>
      <c r="H167" s="36">
        <f t="shared" si="28"/>
        <v>56.599858539476372</v>
      </c>
      <c r="I167" s="37">
        <f ca="1">+IF(A167 &lt;= $L$2, (Full_Report!C247-'Internal Working'!C167),"")</f>
        <v>35.533431576106594</v>
      </c>
      <c r="J167" s="37">
        <f t="shared" ca="1" si="22"/>
        <v>5756.4159153292594</v>
      </c>
      <c r="K167" s="35" t="str">
        <f t="shared" ca="1" si="23"/>
        <v>0</v>
      </c>
      <c r="L167" s="35">
        <f t="shared" ca="1" si="21"/>
        <v>5756.4159153292594</v>
      </c>
      <c r="M167" s="2"/>
    </row>
    <row r="168" spans="1:13" x14ac:dyDescent="0.25">
      <c r="A168" s="1">
        <f>IF(OR(A167="",F167=0,A167=Refinance_Calculator!$C$29),"",A167+1)</f>
        <v>163</v>
      </c>
      <c r="B168" s="3">
        <f t="shared" si="24"/>
        <v>11286.638987661836</v>
      </c>
      <c r="C168" s="3">
        <f>IF(A168="","",(-PMT(Refinance_Calculator!$C$26/12,Refinance_Calculator!$C$29,Refinance_Calculator!$C$23,0,0)))</f>
        <v>89.932578772912834</v>
      </c>
      <c r="D168" s="3">
        <f t="shared" si="25"/>
        <v>56.433194938309192</v>
      </c>
      <c r="E168" s="3">
        <f>IF(A168="","",(-PPMT(Refinance_Calculator!$C$26/12,'Internal Working'!A168,Refinance_Calculator!$C$29,Refinance_Calculator!$C$23,0,0)))</f>
        <v>33.499383834603641</v>
      </c>
      <c r="F168" s="3">
        <f t="shared" si="26"/>
        <v>11253.139603827232</v>
      </c>
      <c r="G168" s="5">
        <f t="shared" si="27"/>
        <v>33.499383834603641</v>
      </c>
      <c r="H168" s="36">
        <f t="shared" si="28"/>
        <v>56.433194938309192</v>
      </c>
      <c r="I168" s="37">
        <f ca="1">+IF(A168 &lt;= $L$2, (Full_Report!C248-'Internal Working'!C168),"")</f>
        <v>35.533431576106594</v>
      </c>
      <c r="J168" s="37">
        <f t="shared" ca="1" si="22"/>
        <v>5791.9493469053659</v>
      </c>
      <c r="K168" s="35" t="str">
        <f t="shared" ca="1" si="23"/>
        <v>0</v>
      </c>
      <c r="L168" s="35">
        <f t="shared" ca="1" si="21"/>
        <v>5791.9493469053659</v>
      </c>
      <c r="M168" s="2"/>
    </row>
    <row r="169" spans="1:13" x14ac:dyDescent="0.25">
      <c r="A169" s="1">
        <f>IF(OR(A168="",F168=0,A168=Refinance_Calculator!$C$29),"",A168+1)</f>
        <v>164</v>
      </c>
      <c r="B169" s="3">
        <f t="shared" si="24"/>
        <v>11253.139603827232</v>
      </c>
      <c r="C169" s="3">
        <f>IF(A169="","",(-PMT(Refinance_Calculator!$C$26/12,Refinance_Calculator!$C$29,Refinance_Calculator!$C$23,0,0)))</f>
        <v>89.932578772912834</v>
      </c>
      <c r="D169" s="3">
        <f t="shared" si="25"/>
        <v>56.265698019136174</v>
      </c>
      <c r="E169" s="3">
        <f>IF(A169="","",(-PPMT(Refinance_Calculator!$C$26/12,'Internal Working'!A169,Refinance_Calculator!$C$29,Refinance_Calculator!$C$23,0,0)))</f>
        <v>33.66688075377666</v>
      </c>
      <c r="F169" s="3">
        <f t="shared" si="26"/>
        <v>11219.472723073455</v>
      </c>
      <c r="G169" s="5">
        <f t="shared" si="27"/>
        <v>33.66688075377666</v>
      </c>
      <c r="H169" s="36">
        <f t="shared" si="28"/>
        <v>56.265698019136174</v>
      </c>
      <c r="I169" s="37">
        <f ca="1">+IF(A169 &lt;= $L$2, (Full_Report!C249-'Internal Working'!C169),"")</f>
        <v>35.533431576106594</v>
      </c>
      <c r="J169" s="37">
        <f t="shared" ca="1" si="22"/>
        <v>5827.4827784814725</v>
      </c>
      <c r="K169" s="35" t="str">
        <f t="shared" ca="1" si="23"/>
        <v>0</v>
      </c>
      <c r="L169" s="35">
        <f t="shared" ca="1" si="21"/>
        <v>5827.4827784814725</v>
      </c>
      <c r="M169" s="2"/>
    </row>
    <row r="170" spans="1:13" x14ac:dyDescent="0.25">
      <c r="A170" s="1">
        <f>IF(OR(A169="",F169=0,A169=Refinance_Calculator!$C$29),"",A169+1)</f>
        <v>165</v>
      </c>
      <c r="B170" s="3">
        <f t="shared" si="24"/>
        <v>11219.472723073455</v>
      </c>
      <c r="C170" s="3">
        <f>IF(A170="","",(-PMT(Refinance_Calculator!$C$26/12,Refinance_Calculator!$C$29,Refinance_Calculator!$C$23,0,0)))</f>
        <v>89.932578772912834</v>
      </c>
      <c r="D170" s="3">
        <f t="shared" si="25"/>
        <v>56.097363615367286</v>
      </c>
      <c r="E170" s="3">
        <f>IF(A170="","",(-PPMT(Refinance_Calculator!$C$26/12,'Internal Working'!A170,Refinance_Calculator!$C$29,Refinance_Calculator!$C$23,0,0)))</f>
        <v>33.835215157545548</v>
      </c>
      <c r="F170" s="3">
        <f t="shared" si="26"/>
        <v>11185.63750791591</v>
      </c>
      <c r="G170" s="5">
        <f t="shared" si="27"/>
        <v>33.835215157545548</v>
      </c>
      <c r="H170" s="36">
        <f t="shared" si="28"/>
        <v>56.097363615367286</v>
      </c>
      <c r="I170" s="37">
        <f ca="1">+IF(A170 &lt;= $L$2, (Full_Report!C250-'Internal Working'!C170),"")</f>
        <v>35.533431576106594</v>
      </c>
      <c r="J170" s="37">
        <f t="shared" ca="1" si="22"/>
        <v>5863.016210057579</v>
      </c>
      <c r="K170" s="35" t="str">
        <f t="shared" ca="1" si="23"/>
        <v>0</v>
      </c>
      <c r="L170" s="35">
        <f t="shared" ca="1" si="21"/>
        <v>5863.016210057579</v>
      </c>
      <c r="M170" s="2"/>
    </row>
    <row r="171" spans="1:13" x14ac:dyDescent="0.25">
      <c r="A171" s="1">
        <f>IF(OR(A170="",F170=0,A170=Refinance_Calculator!$C$29),"",A170+1)</f>
        <v>166</v>
      </c>
      <c r="B171" s="3">
        <f t="shared" si="24"/>
        <v>11185.63750791591</v>
      </c>
      <c r="C171" s="3">
        <f>IF(A171="","",(-PMT(Refinance_Calculator!$C$26/12,Refinance_Calculator!$C$29,Refinance_Calculator!$C$23,0,0)))</f>
        <v>89.932578772912834</v>
      </c>
      <c r="D171" s="3">
        <f t="shared" si="25"/>
        <v>55.928187539579561</v>
      </c>
      <c r="E171" s="3">
        <f>IF(A171="","",(-PPMT(Refinance_Calculator!$C$26/12,'Internal Working'!A171,Refinance_Calculator!$C$29,Refinance_Calculator!$C$23,0,0)))</f>
        <v>34.004391233333273</v>
      </c>
      <c r="F171" s="3">
        <f t="shared" si="26"/>
        <v>11151.633116682577</v>
      </c>
      <c r="G171" s="5">
        <f t="shared" si="27"/>
        <v>34.004391233333273</v>
      </c>
      <c r="H171" s="36">
        <f t="shared" si="28"/>
        <v>55.928187539579561</v>
      </c>
      <c r="I171" s="37">
        <f ca="1">+IF(A171 &lt;= $L$2, (Full_Report!C251-'Internal Working'!C171),"")</f>
        <v>35.533431576106594</v>
      </c>
      <c r="J171" s="37">
        <f t="shared" ca="1" si="22"/>
        <v>5898.5496416336855</v>
      </c>
      <c r="K171" s="35" t="str">
        <f t="shared" ca="1" si="23"/>
        <v>0</v>
      </c>
      <c r="L171" s="35">
        <f t="shared" ca="1" si="21"/>
        <v>5898.5496416336855</v>
      </c>
      <c r="M171" s="2"/>
    </row>
    <row r="172" spans="1:13" x14ac:dyDescent="0.25">
      <c r="A172" s="1">
        <f>IF(OR(A171="",F171=0,A171=Refinance_Calculator!$C$29),"",A171+1)</f>
        <v>167</v>
      </c>
      <c r="B172" s="3">
        <f t="shared" si="24"/>
        <v>11151.633116682577</v>
      </c>
      <c r="C172" s="3">
        <f>IF(A172="","",(-PMT(Refinance_Calculator!$C$26/12,Refinance_Calculator!$C$29,Refinance_Calculator!$C$23,0,0)))</f>
        <v>89.932578772912834</v>
      </c>
      <c r="D172" s="3">
        <f t="shared" si="25"/>
        <v>55.758165583412897</v>
      </c>
      <c r="E172" s="3">
        <f>IF(A172="","",(-PPMT(Refinance_Calculator!$C$26/12,'Internal Working'!A172,Refinance_Calculator!$C$29,Refinance_Calculator!$C$23,0,0)))</f>
        <v>34.174413189499937</v>
      </c>
      <c r="F172" s="3">
        <f t="shared" si="26"/>
        <v>11117.458703493077</v>
      </c>
      <c r="G172" s="5">
        <f t="shared" si="27"/>
        <v>34.174413189499937</v>
      </c>
      <c r="H172" s="36">
        <f t="shared" si="28"/>
        <v>55.758165583412897</v>
      </c>
      <c r="I172" s="37">
        <f ca="1">+IF(A172 &lt;= $L$2, (Full_Report!C252-'Internal Working'!C172),"")</f>
        <v>35.533431576106594</v>
      </c>
      <c r="J172" s="37">
        <f t="shared" ca="1" si="22"/>
        <v>5934.083073209792</v>
      </c>
      <c r="K172" s="35" t="str">
        <f t="shared" ca="1" si="23"/>
        <v>0</v>
      </c>
      <c r="L172" s="35">
        <f t="shared" ca="1" si="21"/>
        <v>5934.083073209792</v>
      </c>
      <c r="M172" s="2"/>
    </row>
    <row r="173" spans="1:13" x14ac:dyDescent="0.25">
      <c r="A173" s="1">
        <f>IF(OR(A172="",F172=0,A172=Refinance_Calculator!$C$29),"",A172+1)</f>
        <v>168</v>
      </c>
      <c r="B173" s="3">
        <f t="shared" si="24"/>
        <v>11117.458703493077</v>
      </c>
      <c r="C173" s="3">
        <f>IF(A173="","",(-PMT(Refinance_Calculator!$C$26/12,Refinance_Calculator!$C$29,Refinance_Calculator!$C$23,0,0)))</f>
        <v>89.932578772912834</v>
      </c>
      <c r="D173" s="3">
        <f t="shared" si="25"/>
        <v>55.587293517465397</v>
      </c>
      <c r="E173" s="3">
        <f>IF(A173="","",(-PPMT(Refinance_Calculator!$C$26/12,'Internal Working'!A173,Refinance_Calculator!$C$29,Refinance_Calculator!$C$23,0,0)))</f>
        <v>34.345285255447436</v>
      </c>
      <c r="F173" s="3">
        <f t="shared" si="26"/>
        <v>11083.11341823763</v>
      </c>
      <c r="G173" s="5">
        <f t="shared" si="27"/>
        <v>34.345285255447436</v>
      </c>
      <c r="H173" s="36">
        <f t="shared" si="28"/>
        <v>55.587293517465397</v>
      </c>
      <c r="I173" s="37">
        <f ca="1">+IF(A173 &lt;= $L$2, (Full_Report!C253-'Internal Working'!C173),"")</f>
        <v>35.533431576106594</v>
      </c>
      <c r="J173" s="37">
        <f t="shared" ca="1" si="22"/>
        <v>5969.6165047858985</v>
      </c>
      <c r="K173" s="35" t="str">
        <f t="shared" ca="1" si="23"/>
        <v>0</v>
      </c>
      <c r="L173" s="35">
        <f t="shared" ca="1" si="21"/>
        <v>5969.6165047858985</v>
      </c>
      <c r="M173" s="2"/>
    </row>
    <row r="174" spans="1:13" x14ac:dyDescent="0.25">
      <c r="A174" s="1">
        <f>IF(OR(A173="",F173=0,A173=Refinance_Calculator!$C$29),"",A173+1)</f>
        <v>169</v>
      </c>
      <c r="B174" s="3">
        <f t="shared" si="24"/>
        <v>11083.11341823763</v>
      </c>
      <c r="C174" s="3">
        <f>IF(A174="","",(-PMT(Refinance_Calculator!$C$26/12,Refinance_Calculator!$C$29,Refinance_Calculator!$C$23,0,0)))</f>
        <v>89.932578772912834</v>
      </c>
      <c r="D174" s="3">
        <f t="shared" si="25"/>
        <v>55.415567091188159</v>
      </c>
      <c r="E174" s="3">
        <f>IF(A174="","",(-PPMT(Refinance_Calculator!$C$26/12,'Internal Working'!A174,Refinance_Calculator!$C$29,Refinance_Calculator!$C$23,0,0)))</f>
        <v>34.517011681724675</v>
      </c>
      <c r="F174" s="3">
        <f t="shared" si="26"/>
        <v>11048.596406555906</v>
      </c>
      <c r="G174" s="5">
        <f t="shared" si="27"/>
        <v>34.517011681724675</v>
      </c>
      <c r="H174" s="36">
        <f t="shared" si="28"/>
        <v>55.415567091188159</v>
      </c>
      <c r="I174" s="37">
        <f ca="1">+IF(A174 &lt;= $L$2, (Full_Report!C254-'Internal Working'!C174),"")</f>
        <v>35.533431576106594</v>
      </c>
      <c r="J174" s="37">
        <f t="shared" ca="1" si="22"/>
        <v>6005.1499363620051</v>
      </c>
      <c r="K174" s="35" t="str">
        <f t="shared" ca="1" si="23"/>
        <v>0</v>
      </c>
      <c r="L174" s="35">
        <f t="shared" ca="1" si="21"/>
        <v>6005.1499363620051</v>
      </c>
      <c r="M174" s="2"/>
    </row>
    <row r="175" spans="1:13" x14ac:dyDescent="0.25">
      <c r="A175" s="1">
        <f>IF(OR(A174="",F174=0,A174=Refinance_Calculator!$C$29),"",A174+1)</f>
        <v>170</v>
      </c>
      <c r="B175" s="3">
        <f t="shared" si="24"/>
        <v>11048.596406555906</v>
      </c>
      <c r="C175" s="3">
        <f>IF(A175="","",(-PMT(Refinance_Calculator!$C$26/12,Refinance_Calculator!$C$29,Refinance_Calculator!$C$23,0,0)))</f>
        <v>89.932578772912834</v>
      </c>
      <c r="D175" s="3">
        <f t="shared" si="25"/>
        <v>55.242982032779537</v>
      </c>
      <c r="E175" s="3">
        <f>IF(A175="","",(-PPMT(Refinance_Calculator!$C$26/12,'Internal Working'!A175,Refinance_Calculator!$C$29,Refinance_Calculator!$C$23,0,0)))</f>
        <v>34.689596740133297</v>
      </c>
      <c r="F175" s="3">
        <f t="shared" si="26"/>
        <v>11013.906809815773</v>
      </c>
      <c r="G175" s="5">
        <f t="shared" si="27"/>
        <v>34.689596740133297</v>
      </c>
      <c r="H175" s="36">
        <f t="shared" si="28"/>
        <v>55.242982032779537</v>
      </c>
      <c r="I175" s="37">
        <f ca="1">+IF(A175 &lt;= $L$2, (Full_Report!C255-'Internal Working'!C175),"")</f>
        <v>35.533431576106594</v>
      </c>
      <c r="J175" s="37">
        <f t="shared" ca="1" si="22"/>
        <v>6040.6833679381116</v>
      </c>
      <c r="K175" s="35" t="str">
        <f t="shared" ca="1" si="23"/>
        <v>0</v>
      </c>
      <c r="L175" s="35">
        <f t="shared" ca="1" si="21"/>
        <v>6040.6833679381116</v>
      </c>
      <c r="M175" s="2"/>
    </row>
    <row r="176" spans="1:13" x14ac:dyDescent="0.25">
      <c r="A176" s="1">
        <f>IF(OR(A175="",F175=0,A175=Refinance_Calculator!$C$29),"",A175+1)</f>
        <v>171</v>
      </c>
      <c r="B176" s="3">
        <f t="shared" si="24"/>
        <v>11013.906809815773</v>
      </c>
      <c r="C176" s="3">
        <f>IF(A176="","",(-PMT(Refinance_Calculator!$C$26/12,Refinance_Calculator!$C$29,Refinance_Calculator!$C$23,0,0)))</f>
        <v>89.932578772912834</v>
      </c>
      <c r="D176" s="3">
        <f t="shared" si="25"/>
        <v>55.069534049078875</v>
      </c>
      <c r="E176" s="3">
        <f>IF(A176="","",(-PPMT(Refinance_Calculator!$C$26/12,'Internal Working'!A176,Refinance_Calculator!$C$29,Refinance_Calculator!$C$23,0,0)))</f>
        <v>34.863044723833958</v>
      </c>
      <c r="F176" s="3">
        <f t="shared" si="26"/>
        <v>10979.043765091939</v>
      </c>
      <c r="G176" s="5">
        <f t="shared" si="27"/>
        <v>34.863044723833958</v>
      </c>
      <c r="H176" s="36">
        <f t="shared" si="28"/>
        <v>55.069534049078875</v>
      </c>
      <c r="I176" s="37">
        <f ca="1">+IF(A176 &lt;= $L$2, (Full_Report!C256-'Internal Working'!C176),"")</f>
        <v>35.533431576106594</v>
      </c>
      <c r="J176" s="37">
        <f t="shared" ca="1" si="22"/>
        <v>6076.2167995142181</v>
      </c>
      <c r="K176" s="35" t="str">
        <f t="shared" ca="1" si="23"/>
        <v>0</v>
      </c>
      <c r="L176" s="35">
        <f t="shared" ca="1" si="21"/>
        <v>6076.2167995142181</v>
      </c>
      <c r="M176" s="2"/>
    </row>
    <row r="177" spans="1:13" x14ac:dyDescent="0.25">
      <c r="A177" s="1">
        <f>IF(OR(A176="",F176=0,A176=Refinance_Calculator!$C$29),"",A176+1)</f>
        <v>172</v>
      </c>
      <c r="B177" s="3">
        <f t="shared" si="24"/>
        <v>10979.043765091939</v>
      </c>
      <c r="C177" s="3">
        <f>IF(A177="","",(-PMT(Refinance_Calculator!$C$26/12,Refinance_Calculator!$C$29,Refinance_Calculator!$C$23,0,0)))</f>
        <v>89.932578772912834</v>
      </c>
      <c r="D177" s="3">
        <f t="shared" si="25"/>
        <v>54.895218825459708</v>
      </c>
      <c r="E177" s="3">
        <f>IF(A177="","",(-PPMT(Refinance_Calculator!$C$26/12,'Internal Working'!A177,Refinance_Calculator!$C$29,Refinance_Calculator!$C$23,0,0)))</f>
        <v>35.037359947453126</v>
      </c>
      <c r="F177" s="3">
        <f t="shared" si="26"/>
        <v>10944.006405144486</v>
      </c>
      <c r="G177" s="5">
        <f t="shared" si="27"/>
        <v>35.037359947453126</v>
      </c>
      <c r="H177" s="36">
        <f t="shared" si="28"/>
        <v>54.895218825459708</v>
      </c>
      <c r="I177" s="37">
        <f ca="1">+IF(A177 &lt;= $L$2, (Full_Report!C257-'Internal Working'!C177),"")</f>
        <v>35.533431576106594</v>
      </c>
      <c r="J177" s="37">
        <f t="shared" ca="1" si="22"/>
        <v>6111.7502310903246</v>
      </c>
      <c r="K177" s="35" t="str">
        <f t="shared" ca="1" si="23"/>
        <v>0</v>
      </c>
      <c r="L177" s="35">
        <f t="shared" ca="1" si="21"/>
        <v>6111.7502310903246</v>
      </c>
      <c r="M177" s="2"/>
    </row>
    <row r="178" spans="1:13" x14ac:dyDescent="0.25">
      <c r="A178" s="1">
        <f>IF(OR(A177="",F177=0,A177=Refinance_Calculator!$C$29),"",A177+1)</f>
        <v>173</v>
      </c>
      <c r="B178" s="3">
        <f t="shared" si="24"/>
        <v>10944.006405144486</v>
      </c>
      <c r="C178" s="3">
        <f>IF(A178="","",(-PMT(Refinance_Calculator!$C$26/12,Refinance_Calculator!$C$29,Refinance_Calculator!$C$23,0,0)))</f>
        <v>89.932578772912834</v>
      </c>
      <c r="D178" s="3">
        <f t="shared" si="25"/>
        <v>54.720032025722432</v>
      </c>
      <c r="E178" s="3">
        <f>IF(A178="","",(-PPMT(Refinance_Calculator!$C$26/12,'Internal Working'!A178,Refinance_Calculator!$C$29,Refinance_Calculator!$C$23,0,0)))</f>
        <v>35.212546747190402</v>
      </c>
      <c r="F178" s="3">
        <f t="shared" si="26"/>
        <v>10908.793858397295</v>
      </c>
      <c r="G178" s="5">
        <f t="shared" si="27"/>
        <v>35.212546747190402</v>
      </c>
      <c r="H178" s="36">
        <f t="shared" si="28"/>
        <v>54.720032025722432</v>
      </c>
      <c r="I178" s="37">
        <f ca="1">+IF(A178 &lt;= $L$2, (Full_Report!C258-'Internal Working'!C178),"")</f>
        <v>35.533431576106594</v>
      </c>
      <c r="J178" s="37">
        <f t="shared" ca="1" si="22"/>
        <v>6147.2836626664312</v>
      </c>
      <c r="K178" s="35" t="str">
        <f t="shared" ca="1" si="23"/>
        <v>0</v>
      </c>
      <c r="L178" s="35">
        <f t="shared" ca="1" si="21"/>
        <v>6147.2836626664312</v>
      </c>
      <c r="M178" s="2"/>
    </row>
    <row r="179" spans="1:13" x14ac:dyDescent="0.25">
      <c r="A179" s="1">
        <f>IF(OR(A178="",F178=0,A178=Refinance_Calculator!$C$29),"",A178+1)</f>
        <v>174</v>
      </c>
      <c r="B179" s="3">
        <f t="shared" si="24"/>
        <v>10908.793858397295</v>
      </c>
      <c r="C179" s="3">
        <f>IF(A179="","",(-PMT(Refinance_Calculator!$C$26/12,Refinance_Calculator!$C$29,Refinance_Calculator!$C$23,0,0)))</f>
        <v>89.932578772912834</v>
      </c>
      <c r="D179" s="3">
        <f t="shared" si="25"/>
        <v>54.543969291986478</v>
      </c>
      <c r="E179" s="3">
        <f>IF(A179="","",(-PPMT(Refinance_Calculator!$C$26/12,'Internal Working'!A179,Refinance_Calculator!$C$29,Refinance_Calculator!$C$23,0,0)))</f>
        <v>35.388609480926355</v>
      </c>
      <c r="F179" s="3">
        <f t="shared" si="26"/>
        <v>10873.40524891637</v>
      </c>
      <c r="G179" s="5">
        <f t="shared" si="27"/>
        <v>35.388609480926355</v>
      </c>
      <c r="H179" s="36">
        <f t="shared" si="28"/>
        <v>54.543969291986478</v>
      </c>
      <c r="I179" s="37">
        <f ca="1">+IF(A179 &lt;= $L$2, (Full_Report!C259-'Internal Working'!C179),"")</f>
        <v>35.533431576106594</v>
      </c>
      <c r="J179" s="37">
        <f t="shared" ca="1" si="22"/>
        <v>6182.8170942425377</v>
      </c>
      <c r="K179" s="35" t="str">
        <f t="shared" ca="1" si="23"/>
        <v>0</v>
      </c>
      <c r="L179" s="35">
        <f t="shared" ca="1" si="21"/>
        <v>6182.8170942425377</v>
      </c>
      <c r="M179" s="2"/>
    </row>
    <row r="180" spans="1:13" x14ac:dyDescent="0.25">
      <c r="A180" s="1">
        <f>IF(OR(A179="",F179=0,A179=Refinance_Calculator!$C$29),"",A179+1)</f>
        <v>175</v>
      </c>
      <c r="B180" s="3">
        <f t="shared" si="24"/>
        <v>10873.40524891637</v>
      </c>
      <c r="C180" s="3">
        <f>IF(A180="","",(-PMT(Refinance_Calculator!$C$26/12,Refinance_Calculator!$C$29,Refinance_Calculator!$C$23,0,0)))</f>
        <v>89.932578772912834</v>
      </c>
      <c r="D180" s="3">
        <f t="shared" si="25"/>
        <v>54.367026244581851</v>
      </c>
      <c r="E180" s="3">
        <f>IF(A180="","",(-PPMT(Refinance_Calculator!$C$26/12,'Internal Working'!A180,Refinance_Calculator!$C$29,Refinance_Calculator!$C$23,0,0)))</f>
        <v>35.565552528330983</v>
      </c>
      <c r="F180" s="3">
        <f t="shared" si="26"/>
        <v>10837.839696388039</v>
      </c>
      <c r="G180" s="5">
        <f t="shared" si="27"/>
        <v>35.565552528330983</v>
      </c>
      <c r="H180" s="36">
        <f t="shared" si="28"/>
        <v>54.367026244581851</v>
      </c>
      <c r="I180" s="37">
        <f ca="1">+IF(A180 &lt;= $L$2, (Full_Report!C260-'Internal Working'!C180),"")</f>
        <v>35.533431576106594</v>
      </c>
      <c r="J180" s="37">
        <f t="shared" ca="1" si="22"/>
        <v>6218.3505258186442</v>
      </c>
      <c r="K180" s="35" t="str">
        <f t="shared" ca="1" si="23"/>
        <v>0</v>
      </c>
      <c r="L180" s="35">
        <f t="shared" ca="1" si="21"/>
        <v>6218.3505258186442</v>
      </c>
      <c r="M180" s="2"/>
    </row>
    <row r="181" spans="1:13" x14ac:dyDescent="0.25">
      <c r="A181" s="1">
        <f>IF(OR(A180="",F180=0,A180=Refinance_Calculator!$C$29),"",A180+1)</f>
        <v>176</v>
      </c>
      <c r="B181" s="3">
        <f t="shared" si="24"/>
        <v>10837.839696388039</v>
      </c>
      <c r="C181" s="3">
        <f>IF(A181="","",(-PMT(Refinance_Calculator!$C$26/12,Refinance_Calculator!$C$29,Refinance_Calculator!$C$23,0,0)))</f>
        <v>89.932578772912834</v>
      </c>
      <c r="D181" s="3">
        <f t="shared" si="25"/>
        <v>54.189198481940196</v>
      </c>
      <c r="E181" s="3">
        <f>IF(A181="","",(-PPMT(Refinance_Calculator!$C$26/12,'Internal Working'!A181,Refinance_Calculator!$C$29,Refinance_Calculator!$C$23,0,0)))</f>
        <v>35.743380290972638</v>
      </c>
      <c r="F181" s="3">
        <f t="shared" si="26"/>
        <v>10802.096316097066</v>
      </c>
      <c r="G181" s="5">
        <f t="shared" si="27"/>
        <v>35.743380290972638</v>
      </c>
      <c r="H181" s="36">
        <f t="shared" si="28"/>
        <v>54.189198481940196</v>
      </c>
      <c r="I181" s="37">
        <f ca="1">+IF(A181 &lt;= $L$2, (Full_Report!C261-'Internal Working'!C181),"")</f>
        <v>35.533431576106594</v>
      </c>
      <c r="J181" s="37">
        <f t="shared" ca="1" si="22"/>
        <v>6253.8839573947507</v>
      </c>
      <c r="K181" s="35" t="str">
        <f t="shared" ca="1" si="23"/>
        <v>0</v>
      </c>
      <c r="L181" s="35">
        <f t="shared" ca="1" si="21"/>
        <v>6253.8839573947507</v>
      </c>
      <c r="M181" s="2"/>
    </row>
    <row r="182" spans="1:13" x14ac:dyDescent="0.25">
      <c r="A182" s="1">
        <f>IF(OR(A181="",F181=0,A181=Refinance_Calculator!$C$29),"",A181+1)</f>
        <v>177</v>
      </c>
      <c r="B182" s="3">
        <f t="shared" si="24"/>
        <v>10802.096316097066</v>
      </c>
      <c r="C182" s="3">
        <f>IF(A182="","",(-PMT(Refinance_Calculator!$C$26/12,Refinance_Calculator!$C$29,Refinance_Calculator!$C$23,0,0)))</f>
        <v>89.932578772912834</v>
      </c>
      <c r="D182" s="3">
        <f t="shared" si="25"/>
        <v>54.010481580485326</v>
      </c>
      <c r="E182" s="3">
        <f>IF(A182="","",(-PPMT(Refinance_Calculator!$C$26/12,'Internal Working'!A182,Refinance_Calculator!$C$29,Refinance_Calculator!$C$23,0,0)))</f>
        <v>35.922097192427508</v>
      </c>
      <c r="F182" s="3">
        <f t="shared" si="26"/>
        <v>10766.174218904638</v>
      </c>
      <c r="G182" s="5">
        <f t="shared" si="27"/>
        <v>35.922097192427508</v>
      </c>
      <c r="H182" s="36">
        <f t="shared" si="28"/>
        <v>54.010481580485326</v>
      </c>
      <c r="I182" s="37">
        <f ca="1">+IF(A182 &lt;= $L$2, (Full_Report!C262-'Internal Working'!C182),"")</f>
        <v>35.533431576106594</v>
      </c>
      <c r="J182" s="37">
        <f t="shared" ca="1" si="22"/>
        <v>6289.4173889708572</v>
      </c>
      <c r="K182" s="35" t="str">
        <f t="shared" ca="1" si="23"/>
        <v>0</v>
      </c>
      <c r="L182" s="35">
        <f t="shared" ca="1" si="21"/>
        <v>6289.4173889708572</v>
      </c>
      <c r="M182" s="2"/>
    </row>
    <row r="183" spans="1:13" x14ac:dyDescent="0.25">
      <c r="A183" s="1">
        <f>IF(OR(A182="",F182=0,A182=Refinance_Calculator!$C$29),"",A182+1)</f>
        <v>178</v>
      </c>
      <c r="B183" s="3">
        <f t="shared" si="24"/>
        <v>10766.174218904638</v>
      </c>
      <c r="C183" s="3">
        <f>IF(A183="","",(-PMT(Refinance_Calculator!$C$26/12,Refinance_Calculator!$C$29,Refinance_Calculator!$C$23,0,0)))</f>
        <v>89.932578772912834</v>
      </c>
      <c r="D183" s="3">
        <f t="shared" si="25"/>
        <v>53.830871094523197</v>
      </c>
      <c r="E183" s="3">
        <f>IF(A183="","",(-PPMT(Refinance_Calculator!$C$26/12,'Internal Working'!A183,Refinance_Calculator!$C$29,Refinance_Calculator!$C$23,0,0)))</f>
        <v>36.101707678389637</v>
      </c>
      <c r="F183" s="3">
        <f t="shared" si="26"/>
        <v>10730.072511226248</v>
      </c>
      <c r="G183" s="5">
        <f t="shared" si="27"/>
        <v>36.101707678389637</v>
      </c>
      <c r="H183" s="36">
        <f t="shared" si="28"/>
        <v>53.830871094523197</v>
      </c>
      <c r="I183" s="37">
        <f ca="1">+IF(A183 &lt;= $L$2, (Full_Report!C263-'Internal Working'!C183),"")</f>
        <v>35.533431576106594</v>
      </c>
      <c r="J183" s="37">
        <f t="shared" ca="1" si="22"/>
        <v>6324.9508205469638</v>
      </c>
      <c r="K183" s="35" t="str">
        <f t="shared" ca="1" si="23"/>
        <v>0</v>
      </c>
      <c r="L183" s="35">
        <f t="shared" ca="1" si="21"/>
        <v>6324.9508205469638</v>
      </c>
      <c r="M183" s="2"/>
    </row>
    <row r="184" spans="1:13" x14ac:dyDescent="0.25">
      <c r="A184" s="1">
        <f>IF(OR(A183="",F183=0,A183=Refinance_Calculator!$C$29),"",A183+1)</f>
        <v>179</v>
      </c>
      <c r="B184" s="3">
        <f t="shared" si="24"/>
        <v>10730.072511226248</v>
      </c>
      <c r="C184" s="3">
        <f>IF(A184="","",(-PMT(Refinance_Calculator!$C$26/12,Refinance_Calculator!$C$29,Refinance_Calculator!$C$23,0,0)))</f>
        <v>89.932578772912834</v>
      </c>
      <c r="D184" s="3">
        <f t="shared" si="25"/>
        <v>53.650362556131242</v>
      </c>
      <c r="E184" s="3">
        <f>IF(A184="","",(-PPMT(Refinance_Calculator!$C$26/12,'Internal Working'!A184,Refinance_Calculator!$C$29,Refinance_Calculator!$C$23,0,0)))</f>
        <v>36.282216216781592</v>
      </c>
      <c r="F184" s="3">
        <f t="shared" si="26"/>
        <v>10693.790295009467</v>
      </c>
      <c r="G184" s="5">
        <f t="shared" si="27"/>
        <v>36.282216216781592</v>
      </c>
      <c r="H184" s="36">
        <f t="shared" si="28"/>
        <v>53.650362556131242</v>
      </c>
      <c r="I184" s="37">
        <f ca="1">+IF(A184 &lt;= $L$2, (Full_Report!C264-'Internal Working'!C184),"")</f>
        <v>35.533431576106594</v>
      </c>
      <c r="J184" s="37">
        <f t="shared" ca="1" si="22"/>
        <v>6360.4842521230703</v>
      </c>
      <c r="K184" s="35" t="str">
        <f t="shared" ca="1" si="23"/>
        <v>0</v>
      </c>
      <c r="L184" s="35">
        <f t="shared" ca="1" si="21"/>
        <v>6360.4842521230703</v>
      </c>
      <c r="M184" s="2"/>
    </row>
    <row r="185" spans="1:13" x14ac:dyDescent="0.25">
      <c r="A185" s="1">
        <f>IF(OR(A184="",F184=0,A184=Refinance_Calculator!$C$29),"",A184+1)</f>
        <v>180</v>
      </c>
      <c r="B185" s="3">
        <f t="shared" si="24"/>
        <v>10693.790295009467</v>
      </c>
      <c r="C185" s="3">
        <f>IF(A185="","",(-PMT(Refinance_Calculator!$C$26/12,Refinance_Calculator!$C$29,Refinance_Calculator!$C$23,0,0)))</f>
        <v>89.932578772912834</v>
      </c>
      <c r="D185" s="3">
        <f t="shared" si="25"/>
        <v>53.468951475047334</v>
      </c>
      <c r="E185" s="3">
        <f>IF(A185="","",(-PPMT(Refinance_Calculator!$C$26/12,'Internal Working'!A185,Refinance_Calculator!$C$29,Refinance_Calculator!$C$23,0,0)))</f>
        <v>36.4636272978655</v>
      </c>
      <c r="F185" s="3">
        <f t="shared" si="26"/>
        <v>10657.326667711601</v>
      </c>
      <c r="G185" s="5">
        <f t="shared" si="27"/>
        <v>36.4636272978655</v>
      </c>
      <c r="H185" s="36">
        <f t="shared" si="28"/>
        <v>53.468951475047334</v>
      </c>
      <c r="I185" s="37">
        <f ca="1">+IF(A185 &lt;= $L$2, (Full_Report!C265-'Internal Working'!C185),"")</f>
        <v>35.533431576106594</v>
      </c>
      <c r="J185" s="37">
        <f t="shared" ca="1" si="22"/>
        <v>6396.0176836991768</v>
      </c>
      <c r="K185" s="35" t="str">
        <f t="shared" ca="1" si="23"/>
        <v>0</v>
      </c>
      <c r="L185" s="35">
        <f t="shared" ca="1" si="21"/>
        <v>6396.0176836991768</v>
      </c>
      <c r="M185" s="2"/>
    </row>
    <row r="186" spans="1:13" x14ac:dyDescent="0.25">
      <c r="A186" s="1">
        <f>IF(OR(A185="",F185=0,A185=Refinance_Calculator!$C$29),"",A185+1)</f>
        <v>181</v>
      </c>
      <c r="B186" s="3">
        <f t="shared" si="24"/>
        <v>10657.326667711601</v>
      </c>
      <c r="C186" s="3">
        <f>IF(A186="","",(-PMT(Refinance_Calculator!$C$26/12,Refinance_Calculator!$C$29,Refinance_Calculator!$C$23,0,0)))</f>
        <v>89.932578772912834</v>
      </c>
      <c r="D186" s="3">
        <f t="shared" si="25"/>
        <v>53.286633338558012</v>
      </c>
      <c r="E186" s="3">
        <f>IF(A186="","",(-PPMT(Refinance_Calculator!$C$26/12,'Internal Working'!A186,Refinance_Calculator!$C$29,Refinance_Calculator!$C$23,0,0)))</f>
        <v>36.645945434354822</v>
      </c>
      <c r="F186" s="3">
        <f t="shared" si="26"/>
        <v>10620.680722277246</v>
      </c>
      <c r="G186" s="5">
        <f t="shared" si="27"/>
        <v>36.645945434354822</v>
      </c>
      <c r="H186" s="36">
        <f t="shared" si="28"/>
        <v>53.286633338558012</v>
      </c>
      <c r="I186" s="37">
        <f ca="1">+IF(A186 &lt;= $L$2, (Full_Report!C266-'Internal Working'!C186),"")</f>
        <v>35.533431576106594</v>
      </c>
      <c r="J186" s="37">
        <f t="shared" ca="1" si="22"/>
        <v>6431.5511152752833</v>
      </c>
      <c r="K186" s="35" t="str">
        <f t="shared" ca="1" si="23"/>
        <v>0</v>
      </c>
      <c r="L186" s="35">
        <f t="shared" ca="1" si="21"/>
        <v>6431.5511152752833</v>
      </c>
      <c r="M186" s="2"/>
    </row>
    <row r="187" spans="1:13" x14ac:dyDescent="0.25">
      <c r="A187" s="1">
        <f>IF(OR(A186="",F186=0,A186=Refinance_Calculator!$C$29),"",A186+1)</f>
        <v>182</v>
      </c>
      <c r="B187" s="3">
        <f t="shared" si="24"/>
        <v>10620.680722277246</v>
      </c>
      <c r="C187" s="3">
        <f>IF(A187="","",(-PMT(Refinance_Calculator!$C$26/12,Refinance_Calculator!$C$29,Refinance_Calculator!$C$23,0,0)))</f>
        <v>89.932578772912834</v>
      </c>
      <c r="D187" s="3">
        <f t="shared" si="25"/>
        <v>53.103403611386234</v>
      </c>
      <c r="E187" s="3">
        <f>IF(A187="","",(-PPMT(Refinance_Calculator!$C$26/12,'Internal Working'!A187,Refinance_Calculator!$C$29,Refinance_Calculator!$C$23,0,0)))</f>
        <v>36.829175161526599</v>
      </c>
      <c r="F187" s="3">
        <f t="shared" si="26"/>
        <v>10583.851547115719</v>
      </c>
      <c r="G187" s="5">
        <f t="shared" si="27"/>
        <v>36.829175161526599</v>
      </c>
      <c r="H187" s="36">
        <f t="shared" si="28"/>
        <v>53.103403611386234</v>
      </c>
      <c r="I187" s="37" t="str">
        <f ca="1">+IF(A187 &lt;= $L$2, (Full_Report!C267-'Internal Working'!C187),"")</f>
        <v/>
      </c>
      <c r="J187" s="37" t="str">
        <f t="shared" ca="1" si="22"/>
        <v>0</v>
      </c>
      <c r="K187" s="35">
        <f t="shared" ca="1" si="23"/>
        <v>-89.932578772912834</v>
      </c>
      <c r="L187" s="35">
        <f t="shared" ca="1" si="21"/>
        <v>-89.932578772912834</v>
      </c>
      <c r="M187" s="2"/>
    </row>
    <row r="188" spans="1:13" x14ac:dyDescent="0.25">
      <c r="A188" s="1">
        <f>IF(OR(A187="",F187=0,A187=Refinance_Calculator!$C$29),"",A187+1)</f>
        <v>183</v>
      </c>
      <c r="B188" s="3">
        <f t="shared" si="24"/>
        <v>10583.851547115719</v>
      </c>
      <c r="C188" s="3">
        <f>IF(A188="","",(-PMT(Refinance_Calculator!$C$26/12,Refinance_Calculator!$C$29,Refinance_Calculator!$C$23,0,0)))</f>
        <v>89.932578772912834</v>
      </c>
      <c r="D188" s="3">
        <f t="shared" si="25"/>
        <v>52.919257735578604</v>
      </c>
      <c r="E188" s="3">
        <f>IF(A188="","",(-PPMT(Refinance_Calculator!$C$26/12,'Internal Working'!A188,Refinance_Calculator!$C$29,Refinance_Calculator!$C$23,0,0)))</f>
        <v>37.013321037334229</v>
      </c>
      <c r="F188" s="3">
        <f t="shared" si="26"/>
        <v>10546.838226078384</v>
      </c>
      <c r="G188" s="5">
        <f t="shared" si="27"/>
        <v>37.013321037334229</v>
      </c>
      <c r="H188" s="36">
        <f t="shared" si="28"/>
        <v>52.919257735578604</v>
      </c>
      <c r="I188" s="37" t="str">
        <f ca="1">+IF(A188 &lt;= $L$2, (Full_Report!C268-'Internal Working'!C188),"")</f>
        <v/>
      </c>
      <c r="J188" s="37" t="str">
        <f t="shared" ca="1" si="22"/>
        <v>0</v>
      </c>
      <c r="K188" s="35">
        <f t="shared" ca="1" si="23"/>
        <v>-179.86515754582567</v>
      </c>
      <c r="L188" s="35">
        <f t="shared" ca="1" si="21"/>
        <v>-179.86515754582567</v>
      </c>
      <c r="M188" s="2"/>
    </row>
    <row r="189" spans="1:13" x14ac:dyDescent="0.25">
      <c r="A189" s="1">
        <f>IF(OR(A188="",F188=0,A188=Refinance_Calculator!$C$29),"",A188+1)</f>
        <v>184</v>
      </c>
      <c r="B189" s="3">
        <f t="shared" si="24"/>
        <v>10546.838226078384</v>
      </c>
      <c r="C189" s="3">
        <f>IF(A189="","",(-PMT(Refinance_Calculator!$C$26/12,Refinance_Calculator!$C$29,Refinance_Calculator!$C$23,0,0)))</f>
        <v>89.932578772912834</v>
      </c>
      <c r="D189" s="3">
        <f t="shared" si="25"/>
        <v>52.734191130391935</v>
      </c>
      <c r="E189" s="3">
        <f>IF(A189="","",(-PPMT(Refinance_Calculator!$C$26/12,'Internal Working'!A189,Refinance_Calculator!$C$29,Refinance_Calculator!$C$23,0,0)))</f>
        <v>37.198387642520899</v>
      </c>
      <c r="F189" s="3">
        <f t="shared" si="26"/>
        <v>10509.639838435864</v>
      </c>
      <c r="G189" s="5">
        <f t="shared" si="27"/>
        <v>37.198387642520899</v>
      </c>
      <c r="H189" s="36">
        <f t="shared" si="28"/>
        <v>52.734191130391935</v>
      </c>
      <c r="I189" s="37" t="str">
        <f ca="1">+IF(A189 &lt;= $L$2, (Full_Report!C269-'Internal Working'!C189),"")</f>
        <v/>
      </c>
      <c r="J189" s="37" t="str">
        <f t="shared" ca="1" si="22"/>
        <v>0</v>
      </c>
      <c r="K189" s="35">
        <f t="shared" ca="1" si="23"/>
        <v>-269.79773631873849</v>
      </c>
      <c r="L189" s="35">
        <f t="shared" ca="1" si="21"/>
        <v>-269.79773631873849</v>
      </c>
      <c r="M189" s="2"/>
    </row>
    <row r="190" spans="1:13" x14ac:dyDescent="0.25">
      <c r="A190" s="1">
        <f>IF(OR(A189="",F189=0,A189=Refinance_Calculator!$C$29),"",A189+1)</f>
        <v>185</v>
      </c>
      <c r="B190" s="3">
        <f t="shared" si="24"/>
        <v>10509.639838435864</v>
      </c>
      <c r="C190" s="3">
        <f>IF(A190="","",(-PMT(Refinance_Calculator!$C$26/12,Refinance_Calculator!$C$29,Refinance_Calculator!$C$23,0,0)))</f>
        <v>89.932578772912834</v>
      </c>
      <c r="D190" s="3">
        <f t="shared" si="25"/>
        <v>52.548199192179332</v>
      </c>
      <c r="E190" s="3">
        <f>IF(A190="","",(-PPMT(Refinance_Calculator!$C$26/12,'Internal Working'!A190,Refinance_Calculator!$C$29,Refinance_Calculator!$C$23,0,0)))</f>
        <v>37.384379580733501</v>
      </c>
      <c r="F190" s="3">
        <f t="shared" si="26"/>
        <v>10472.25545885513</v>
      </c>
      <c r="G190" s="5">
        <f t="shared" si="27"/>
        <v>37.384379580733501</v>
      </c>
      <c r="H190" s="36">
        <f t="shared" si="28"/>
        <v>52.548199192179332</v>
      </c>
      <c r="I190" s="37" t="str">
        <f ca="1">+IF(A190 &lt;= $L$2, (Full_Report!C270-'Internal Working'!C190),"")</f>
        <v/>
      </c>
      <c r="J190" s="37" t="str">
        <f t="shared" ca="1" si="22"/>
        <v>0</v>
      </c>
      <c r="K190" s="35">
        <f t="shared" ca="1" si="23"/>
        <v>-359.73031509165133</v>
      </c>
      <c r="L190" s="35">
        <f t="shared" ca="1" si="21"/>
        <v>-359.73031509165133</v>
      </c>
      <c r="M190" s="2"/>
    </row>
    <row r="191" spans="1:13" x14ac:dyDescent="0.25">
      <c r="A191" s="1">
        <f>IF(OR(A190="",F190=0,A190=Refinance_Calculator!$C$29),"",A190+1)</f>
        <v>186</v>
      </c>
      <c r="B191" s="3">
        <f t="shared" si="24"/>
        <v>10472.25545885513</v>
      </c>
      <c r="C191" s="3">
        <f>IF(A191="","",(-PMT(Refinance_Calculator!$C$26/12,Refinance_Calculator!$C$29,Refinance_Calculator!$C$23,0,0)))</f>
        <v>89.932578772912834</v>
      </c>
      <c r="D191" s="3">
        <f t="shared" si="25"/>
        <v>52.361277294275659</v>
      </c>
      <c r="E191" s="3">
        <f>IF(A191="","",(-PPMT(Refinance_Calculator!$C$26/12,'Internal Working'!A191,Refinance_Calculator!$C$29,Refinance_Calculator!$C$23,0,0)))</f>
        <v>37.571301478637174</v>
      </c>
      <c r="F191" s="3">
        <f t="shared" si="26"/>
        <v>10434.684157376492</v>
      </c>
      <c r="G191" s="5">
        <f t="shared" si="27"/>
        <v>37.571301478637174</v>
      </c>
      <c r="H191" s="36">
        <f t="shared" si="28"/>
        <v>52.361277294275659</v>
      </c>
      <c r="I191" s="37" t="str">
        <f ca="1">+IF(A191 &lt;= $L$2, (Full_Report!C271-'Internal Working'!C191),"")</f>
        <v/>
      </c>
      <c r="J191" s="37" t="str">
        <f t="shared" ca="1" si="22"/>
        <v>0</v>
      </c>
      <c r="K191" s="35">
        <f t="shared" ca="1" si="23"/>
        <v>-449.66289386456418</v>
      </c>
      <c r="L191" s="35">
        <f t="shared" ca="1" si="21"/>
        <v>-449.66289386456418</v>
      </c>
      <c r="M191" s="2"/>
    </row>
    <row r="192" spans="1:13" x14ac:dyDescent="0.25">
      <c r="A192" s="1">
        <f>IF(OR(A191="",F191=0,A191=Refinance_Calculator!$C$29),"",A191+1)</f>
        <v>187</v>
      </c>
      <c r="B192" s="3">
        <f t="shared" si="24"/>
        <v>10434.684157376492</v>
      </c>
      <c r="C192" s="3">
        <f>IF(A192="","",(-PMT(Refinance_Calculator!$C$26/12,Refinance_Calculator!$C$29,Refinance_Calculator!$C$23,0,0)))</f>
        <v>89.932578772912834</v>
      </c>
      <c r="D192" s="3">
        <f t="shared" si="25"/>
        <v>52.173420786882481</v>
      </c>
      <c r="E192" s="3">
        <f>IF(A192="","",(-PPMT(Refinance_Calculator!$C$26/12,'Internal Working'!A192,Refinance_Calculator!$C$29,Refinance_Calculator!$C$23,0,0)))</f>
        <v>37.759157986030353</v>
      </c>
      <c r="F192" s="3">
        <f t="shared" si="26"/>
        <v>10396.924999390461</v>
      </c>
      <c r="G192" s="5">
        <f t="shared" si="27"/>
        <v>37.759157986030353</v>
      </c>
      <c r="H192" s="36">
        <f t="shared" si="28"/>
        <v>52.173420786882481</v>
      </c>
      <c r="I192" s="37" t="str">
        <f ca="1">+IF(A192 &lt;= $L$2, (Full_Report!C272-'Internal Working'!C192),"")</f>
        <v/>
      </c>
      <c r="J192" s="37" t="str">
        <f t="shared" ca="1" si="22"/>
        <v>0</v>
      </c>
      <c r="K192" s="35">
        <f t="shared" ca="1" si="23"/>
        <v>-539.59547263747697</v>
      </c>
      <c r="L192" s="35">
        <f t="shared" ca="1" si="21"/>
        <v>-539.59547263747697</v>
      </c>
      <c r="M192" s="2"/>
    </row>
    <row r="193" spans="1:13" x14ac:dyDescent="0.25">
      <c r="A193" s="1">
        <f>IF(OR(A192="",F192=0,A192=Refinance_Calculator!$C$29),"",A192+1)</f>
        <v>188</v>
      </c>
      <c r="B193" s="3">
        <f t="shared" si="24"/>
        <v>10396.924999390461</v>
      </c>
      <c r="C193" s="3">
        <f>IF(A193="","",(-PMT(Refinance_Calculator!$C$26/12,Refinance_Calculator!$C$29,Refinance_Calculator!$C$23,0,0)))</f>
        <v>89.932578772912834</v>
      </c>
      <c r="D193" s="3">
        <f t="shared" si="25"/>
        <v>51.984624996952327</v>
      </c>
      <c r="E193" s="3">
        <f>IF(A193="","",(-PPMT(Refinance_Calculator!$C$26/12,'Internal Working'!A193,Refinance_Calculator!$C$29,Refinance_Calculator!$C$23,0,0)))</f>
        <v>37.947953775960507</v>
      </c>
      <c r="F193" s="3">
        <f t="shared" si="26"/>
        <v>10358.977045614502</v>
      </c>
      <c r="G193" s="5">
        <f t="shared" si="27"/>
        <v>37.947953775960507</v>
      </c>
      <c r="H193" s="36">
        <f t="shared" si="28"/>
        <v>51.984624996952327</v>
      </c>
      <c r="I193" s="37" t="str">
        <f ca="1">+IF(A193 &lt;= $L$2, (Full_Report!C273-'Internal Working'!C193),"")</f>
        <v/>
      </c>
      <c r="J193" s="37" t="str">
        <f t="shared" ca="1" si="22"/>
        <v>0</v>
      </c>
      <c r="K193" s="35">
        <f t="shared" ca="1" si="23"/>
        <v>-629.52805141038982</v>
      </c>
      <c r="L193" s="35">
        <f t="shared" ca="1" si="21"/>
        <v>-629.52805141038982</v>
      </c>
      <c r="M193" s="2"/>
    </row>
    <row r="194" spans="1:13" x14ac:dyDescent="0.25">
      <c r="A194" s="1">
        <f>IF(OR(A193="",F193=0,A193=Refinance_Calculator!$C$29),"",A193+1)</f>
        <v>189</v>
      </c>
      <c r="B194" s="3">
        <f t="shared" si="24"/>
        <v>10358.977045614502</v>
      </c>
      <c r="C194" s="3">
        <f>IF(A194="","",(-PMT(Refinance_Calculator!$C$26/12,Refinance_Calculator!$C$29,Refinance_Calculator!$C$23,0,0)))</f>
        <v>89.932578772912834</v>
      </c>
      <c r="D194" s="3">
        <f t="shared" si="25"/>
        <v>51.794885228072516</v>
      </c>
      <c r="E194" s="3">
        <f>IF(A194="","",(-PPMT(Refinance_Calculator!$C$26/12,'Internal Working'!A194,Refinance_Calculator!$C$29,Refinance_Calculator!$C$23,0,0)))</f>
        <v>38.137693544840317</v>
      </c>
      <c r="F194" s="3">
        <f t="shared" si="26"/>
        <v>10320.839352069661</v>
      </c>
      <c r="G194" s="5">
        <f t="shared" si="27"/>
        <v>38.137693544840317</v>
      </c>
      <c r="H194" s="36">
        <f t="shared" si="28"/>
        <v>51.794885228072516</v>
      </c>
      <c r="I194" s="37" t="str">
        <f ca="1">+IF(A194 &lt;= $L$2, (Full_Report!C274-'Internal Working'!C194),"")</f>
        <v/>
      </c>
      <c r="J194" s="37" t="str">
        <f t="shared" ca="1" si="22"/>
        <v>0</v>
      </c>
      <c r="K194" s="35">
        <f t="shared" ca="1" si="23"/>
        <v>-719.46063018330267</v>
      </c>
      <c r="L194" s="35">
        <f t="shared" ca="1" si="21"/>
        <v>-719.46063018330267</v>
      </c>
      <c r="M194" s="2"/>
    </row>
    <row r="195" spans="1:13" x14ac:dyDescent="0.25">
      <c r="A195" s="1">
        <f>IF(OR(A194="",F194=0,A194=Refinance_Calculator!$C$29),"",A194+1)</f>
        <v>190</v>
      </c>
      <c r="B195" s="3">
        <f t="shared" si="24"/>
        <v>10320.839352069661</v>
      </c>
      <c r="C195" s="3">
        <f>IF(A195="","",(-PMT(Refinance_Calculator!$C$26/12,Refinance_Calculator!$C$29,Refinance_Calculator!$C$23,0,0)))</f>
        <v>89.932578772912834</v>
      </c>
      <c r="D195" s="3">
        <f t="shared" si="25"/>
        <v>51.604196760348316</v>
      </c>
      <c r="E195" s="3">
        <f>IF(A195="","",(-PPMT(Refinance_Calculator!$C$26/12,'Internal Working'!A195,Refinance_Calculator!$C$29,Refinance_Calculator!$C$23,0,0)))</f>
        <v>38.328382012564518</v>
      </c>
      <c r="F195" s="3">
        <f t="shared" si="26"/>
        <v>10282.510970057096</v>
      </c>
      <c r="G195" s="5">
        <f t="shared" si="27"/>
        <v>38.328382012564518</v>
      </c>
      <c r="H195" s="36">
        <f t="shared" si="28"/>
        <v>51.604196760348316</v>
      </c>
      <c r="I195" s="37" t="str">
        <f ca="1">+IF(A195 &lt;= $L$2, (Full_Report!C275-'Internal Working'!C195),"")</f>
        <v/>
      </c>
      <c r="J195" s="37" t="str">
        <f t="shared" ca="1" si="22"/>
        <v>0</v>
      </c>
      <c r="K195" s="35">
        <f t="shared" ca="1" si="23"/>
        <v>-809.39320895621552</v>
      </c>
      <c r="L195" s="35">
        <f t="shared" ca="1" si="21"/>
        <v>-809.39320895621552</v>
      </c>
      <c r="M195" s="2"/>
    </row>
    <row r="196" spans="1:13" x14ac:dyDescent="0.25">
      <c r="A196" s="1">
        <f>IF(OR(A195="",F195=0,A195=Refinance_Calculator!$C$29),"",A195+1)</f>
        <v>191</v>
      </c>
      <c r="B196" s="3">
        <f t="shared" si="24"/>
        <v>10282.510970057096</v>
      </c>
      <c r="C196" s="3">
        <f>IF(A196="","",(-PMT(Refinance_Calculator!$C$26/12,Refinance_Calculator!$C$29,Refinance_Calculator!$C$23,0,0)))</f>
        <v>89.932578772912834</v>
      </c>
      <c r="D196" s="3">
        <f t="shared" si="25"/>
        <v>51.412554850285495</v>
      </c>
      <c r="E196" s="3">
        <f>IF(A196="","",(-PPMT(Refinance_Calculator!$C$26/12,'Internal Working'!A196,Refinance_Calculator!$C$29,Refinance_Calculator!$C$23,0,0)))</f>
        <v>38.520023922627338</v>
      </c>
      <c r="F196" s="3">
        <f t="shared" si="26"/>
        <v>10243.990946134469</v>
      </c>
      <c r="G196" s="5">
        <f t="shared" si="27"/>
        <v>38.520023922627338</v>
      </c>
      <c r="H196" s="36">
        <f t="shared" si="28"/>
        <v>51.412554850285495</v>
      </c>
      <c r="I196" s="37" t="str">
        <f ca="1">+IF(A196 &lt;= $L$2, (Full_Report!C276-'Internal Working'!C196),"")</f>
        <v/>
      </c>
      <c r="J196" s="37" t="str">
        <f t="shared" ca="1" si="22"/>
        <v>0</v>
      </c>
      <c r="K196" s="35">
        <f t="shared" ca="1" si="23"/>
        <v>-899.32578772912836</v>
      </c>
      <c r="L196" s="35">
        <f t="shared" ca="1" si="21"/>
        <v>-899.32578772912836</v>
      </c>
      <c r="M196" s="2"/>
    </row>
    <row r="197" spans="1:13" x14ac:dyDescent="0.25">
      <c r="A197" s="1">
        <f>IF(OR(A196="",F196=0,A196=Refinance_Calculator!$C$29),"",A196+1)</f>
        <v>192</v>
      </c>
      <c r="B197" s="3">
        <f t="shared" si="24"/>
        <v>10243.990946134469</v>
      </c>
      <c r="C197" s="3">
        <f>IF(A197="","",(-PMT(Refinance_Calculator!$C$26/12,Refinance_Calculator!$C$29,Refinance_Calculator!$C$23,0,0)))</f>
        <v>89.932578772912834</v>
      </c>
      <c r="D197" s="3">
        <f t="shared" si="25"/>
        <v>51.219954730672356</v>
      </c>
      <c r="E197" s="3">
        <f>IF(A197="","",(-PPMT(Refinance_Calculator!$C$26/12,'Internal Working'!A197,Refinance_Calculator!$C$29,Refinance_Calculator!$C$23,0,0)))</f>
        <v>38.712624042240478</v>
      </c>
      <c r="F197" s="3">
        <f t="shared" si="26"/>
        <v>10205.278322092228</v>
      </c>
      <c r="G197" s="5">
        <f t="shared" si="27"/>
        <v>38.712624042240478</v>
      </c>
      <c r="H197" s="36">
        <f t="shared" si="28"/>
        <v>51.219954730672356</v>
      </c>
      <c r="I197" s="37" t="str">
        <f ca="1">+IF(A197 &lt;= $L$2, (Full_Report!C277-'Internal Working'!C197),"")</f>
        <v/>
      </c>
      <c r="J197" s="37" t="str">
        <f t="shared" ca="1" si="22"/>
        <v>0</v>
      </c>
      <c r="K197" s="35">
        <f t="shared" ca="1" si="23"/>
        <v>-989.25836650204121</v>
      </c>
      <c r="L197" s="35">
        <f t="shared" ca="1" si="21"/>
        <v>-989.25836650204121</v>
      </c>
      <c r="M197" s="2"/>
    </row>
    <row r="198" spans="1:13" x14ac:dyDescent="0.25">
      <c r="A198" s="1">
        <f>IF(OR(A197="",F197=0,A197=Refinance_Calculator!$C$29),"",A197+1)</f>
        <v>193</v>
      </c>
      <c r="B198" s="3">
        <f t="shared" si="24"/>
        <v>10205.278322092228</v>
      </c>
      <c r="C198" s="3">
        <f>IF(A198="","",(-PMT(Refinance_Calculator!$C$26/12,Refinance_Calculator!$C$29,Refinance_Calculator!$C$23,0,0)))</f>
        <v>89.932578772912834</v>
      </c>
      <c r="D198" s="3">
        <f t="shared" si="25"/>
        <v>51.026391610461161</v>
      </c>
      <c r="E198" s="3">
        <f>IF(A198="","",(-PPMT(Refinance_Calculator!$C$26/12,'Internal Working'!A198,Refinance_Calculator!$C$29,Refinance_Calculator!$C$23,0,0)))</f>
        <v>38.906187162451673</v>
      </c>
      <c r="F198" s="3">
        <f t="shared" si="26"/>
        <v>10166.372134929778</v>
      </c>
      <c r="G198" s="5">
        <f t="shared" si="27"/>
        <v>38.906187162451673</v>
      </c>
      <c r="H198" s="36">
        <f t="shared" si="28"/>
        <v>51.026391610461161</v>
      </c>
      <c r="I198" s="37" t="str">
        <f ca="1">+IF(A198 &lt;= $L$2, (Full_Report!C278-'Internal Working'!C198),"")</f>
        <v/>
      </c>
      <c r="J198" s="37" t="str">
        <f t="shared" ca="1" si="22"/>
        <v>0</v>
      </c>
      <c r="K198" s="35">
        <f t="shared" ca="1" si="23"/>
        <v>-1079.1909452749539</v>
      </c>
      <c r="L198" s="35">
        <f t="shared" ca="1" si="21"/>
        <v>-1079.1909452749539</v>
      </c>
      <c r="M198" s="2"/>
    </row>
    <row r="199" spans="1:13" x14ac:dyDescent="0.25">
      <c r="A199" s="1">
        <f>IF(OR(A198="",F198=0,A198=Refinance_Calculator!$C$29),"",A198+1)</f>
        <v>194</v>
      </c>
      <c r="B199" s="3">
        <f t="shared" si="24"/>
        <v>10166.372134929778</v>
      </c>
      <c r="C199" s="3">
        <f>IF(A199="","",(-PMT(Refinance_Calculator!$C$26/12,Refinance_Calculator!$C$29,Refinance_Calculator!$C$23,0,0)))</f>
        <v>89.932578772912834</v>
      </c>
      <c r="D199" s="3">
        <f t="shared" si="25"/>
        <v>50.831860674648901</v>
      </c>
      <c r="E199" s="3">
        <f>IF(A199="","",(-PPMT(Refinance_Calculator!$C$26/12,'Internal Working'!A199,Refinance_Calculator!$C$29,Refinance_Calculator!$C$23,0,0)))</f>
        <v>39.100718098263933</v>
      </c>
      <c r="F199" s="3">
        <f t="shared" si="26"/>
        <v>10127.271416831514</v>
      </c>
      <c r="G199" s="5">
        <f t="shared" si="27"/>
        <v>39.100718098263933</v>
      </c>
      <c r="H199" s="36">
        <f t="shared" si="28"/>
        <v>50.831860674648901</v>
      </c>
      <c r="I199" s="37" t="str">
        <f ca="1">+IF(A199 &lt;= $L$2, (Full_Report!C279-'Internal Working'!C199),"")</f>
        <v/>
      </c>
      <c r="J199" s="37" t="str">
        <f t="shared" ca="1" si="22"/>
        <v>0</v>
      </c>
      <c r="K199" s="35">
        <f t="shared" ca="1" si="23"/>
        <v>-1169.1235240478668</v>
      </c>
      <c r="L199" s="35">
        <f t="shared" ref="L199:L262" ca="1" si="29">+IF(A199 = "","",(J199+K199))</f>
        <v>-1169.1235240478668</v>
      </c>
      <c r="M199" s="2"/>
    </row>
    <row r="200" spans="1:13" x14ac:dyDescent="0.25">
      <c r="A200" s="1">
        <f>IF(OR(A199="",F199=0,A199=Refinance_Calculator!$C$29),"",A199+1)</f>
        <v>195</v>
      </c>
      <c r="B200" s="3">
        <f t="shared" si="24"/>
        <v>10127.271416831514</v>
      </c>
      <c r="C200" s="3">
        <f>IF(A200="","",(-PMT(Refinance_Calculator!$C$26/12,Refinance_Calculator!$C$29,Refinance_Calculator!$C$23,0,0)))</f>
        <v>89.932578772912834</v>
      </c>
      <c r="D200" s="3">
        <f t="shared" si="25"/>
        <v>50.636357084157581</v>
      </c>
      <c r="E200" s="3">
        <f>IF(A200="","",(-PPMT(Refinance_Calculator!$C$26/12,'Internal Working'!A200,Refinance_Calculator!$C$29,Refinance_Calculator!$C$23,0,0)))</f>
        <v>39.296221688755253</v>
      </c>
      <c r="F200" s="3">
        <f t="shared" si="26"/>
        <v>10087.975195142759</v>
      </c>
      <c r="G200" s="5">
        <f t="shared" si="27"/>
        <v>39.296221688755253</v>
      </c>
      <c r="H200" s="36">
        <f t="shared" si="28"/>
        <v>50.636357084157581</v>
      </c>
      <c r="I200" s="37" t="str">
        <f ca="1">+IF(A200 &lt;= $L$2, (Full_Report!C280-'Internal Working'!C200),"")</f>
        <v/>
      </c>
      <c r="J200" s="37" t="str">
        <f t="shared" ref="J200:J263" ca="1" si="30">IF(I200="","0",(I200+J199))</f>
        <v>0</v>
      </c>
      <c r="K200" s="35">
        <f t="shared" ref="K200:K263" ca="1" si="31">+IF(A200="","0",IF(A200&gt;$L$2,(K199-C200),"0"))</f>
        <v>-1259.0561028207796</v>
      </c>
      <c r="L200" s="35">
        <f t="shared" ca="1" si="29"/>
        <v>-1259.0561028207796</v>
      </c>
      <c r="M200" s="2"/>
    </row>
    <row r="201" spans="1:13" x14ac:dyDescent="0.25">
      <c r="A201" s="1">
        <f>IF(OR(A200="",F200=0,A200=Refinance_Calculator!$C$29),"",A200+1)</f>
        <v>196</v>
      </c>
      <c r="B201" s="3">
        <f t="shared" si="24"/>
        <v>10087.975195142759</v>
      </c>
      <c r="C201" s="3">
        <f>IF(A201="","",(-PMT(Refinance_Calculator!$C$26/12,Refinance_Calculator!$C$29,Refinance_Calculator!$C$23,0,0)))</f>
        <v>89.932578772912834</v>
      </c>
      <c r="D201" s="3">
        <f t="shared" si="25"/>
        <v>50.439875975713804</v>
      </c>
      <c r="E201" s="3">
        <f>IF(A201="","",(-PPMT(Refinance_Calculator!$C$26/12,'Internal Working'!A201,Refinance_Calculator!$C$29,Refinance_Calculator!$C$23,0,0)))</f>
        <v>39.49270279719903</v>
      </c>
      <c r="F201" s="3">
        <f t="shared" si="26"/>
        <v>10048.48249234556</v>
      </c>
      <c r="G201" s="5">
        <f t="shared" si="27"/>
        <v>39.49270279719903</v>
      </c>
      <c r="H201" s="36">
        <f t="shared" si="28"/>
        <v>50.439875975713804</v>
      </c>
      <c r="I201" s="37" t="str">
        <f ca="1">+IF(A201 &lt;= $L$2, (Full_Report!C281-'Internal Working'!C201),"")</f>
        <v/>
      </c>
      <c r="J201" s="37" t="str">
        <f t="shared" ca="1" si="30"/>
        <v>0</v>
      </c>
      <c r="K201" s="35">
        <f t="shared" ca="1" si="31"/>
        <v>-1348.9886815936925</v>
      </c>
      <c r="L201" s="35">
        <f t="shared" ca="1" si="29"/>
        <v>-1348.9886815936925</v>
      </c>
      <c r="M201" s="2"/>
    </row>
    <row r="202" spans="1:13" x14ac:dyDescent="0.25">
      <c r="A202" s="1">
        <f>IF(OR(A201="",F201=0,A201=Refinance_Calculator!$C$29),"",A201+1)</f>
        <v>197</v>
      </c>
      <c r="B202" s="3">
        <f t="shared" si="24"/>
        <v>10048.48249234556</v>
      </c>
      <c r="C202" s="3">
        <f>IF(A202="","",(-PMT(Refinance_Calculator!$C$26/12,Refinance_Calculator!$C$29,Refinance_Calculator!$C$23,0,0)))</f>
        <v>89.932578772912834</v>
      </c>
      <c r="D202" s="3">
        <f t="shared" si="25"/>
        <v>50.242412461727803</v>
      </c>
      <c r="E202" s="3">
        <f>IF(A202="","",(-PPMT(Refinance_Calculator!$C$26/12,'Internal Working'!A202,Refinance_Calculator!$C$29,Refinance_Calculator!$C$23,0,0)))</f>
        <v>39.690166311185031</v>
      </c>
      <c r="F202" s="3">
        <f t="shared" si="26"/>
        <v>10008.792326034374</v>
      </c>
      <c r="G202" s="5">
        <f t="shared" si="27"/>
        <v>39.690166311185031</v>
      </c>
      <c r="H202" s="36">
        <f t="shared" si="28"/>
        <v>50.242412461727803</v>
      </c>
      <c r="I202" s="37" t="str">
        <f ca="1">+IF(A202 &lt;= $L$2, (Full_Report!C282-'Internal Working'!C202),"")</f>
        <v/>
      </c>
      <c r="J202" s="37" t="str">
        <f t="shared" ca="1" si="30"/>
        <v>0</v>
      </c>
      <c r="K202" s="35">
        <f t="shared" ca="1" si="31"/>
        <v>-1438.9212603666053</v>
      </c>
      <c r="L202" s="35">
        <f t="shared" ca="1" si="29"/>
        <v>-1438.9212603666053</v>
      </c>
      <c r="M202" s="2"/>
    </row>
    <row r="203" spans="1:13" x14ac:dyDescent="0.25">
      <c r="A203" s="1">
        <f>IF(OR(A202="",F202=0,A202=Refinance_Calculator!$C$29),"",A202+1)</f>
        <v>198</v>
      </c>
      <c r="B203" s="3">
        <f t="shared" si="24"/>
        <v>10008.792326034374</v>
      </c>
      <c r="C203" s="3">
        <f>IF(A203="","",(-PMT(Refinance_Calculator!$C$26/12,Refinance_Calculator!$C$29,Refinance_Calculator!$C$23,0,0)))</f>
        <v>89.932578772912834</v>
      </c>
      <c r="D203" s="3">
        <f t="shared" si="25"/>
        <v>50.043961630171886</v>
      </c>
      <c r="E203" s="3">
        <f>IF(A203="","",(-PPMT(Refinance_Calculator!$C$26/12,'Internal Working'!A203,Refinance_Calculator!$C$29,Refinance_Calculator!$C$23,0,0)))</f>
        <v>39.888617142740948</v>
      </c>
      <c r="F203" s="3">
        <f t="shared" si="26"/>
        <v>9968.9037088916339</v>
      </c>
      <c r="G203" s="5">
        <f t="shared" si="27"/>
        <v>39.888617142740948</v>
      </c>
      <c r="H203" s="36">
        <f t="shared" si="28"/>
        <v>50.043961630171886</v>
      </c>
      <c r="I203" s="37" t="str">
        <f ca="1">+IF(A203 &lt;= $L$2, (Full_Report!C283-'Internal Working'!C203),"")</f>
        <v/>
      </c>
      <c r="J203" s="37" t="str">
        <f t="shared" ca="1" si="30"/>
        <v>0</v>
      </c>
      <c r="K203" s="35">
        <f t="shared" ca="1" si="31"/>
        <v>-1528.8538391395182</v>
      </c>
      <c r="L203" s="35">
        <f t="shared" ca="1" si="29"/>
        <v>-1528.8538391395182</v>
      </c>
      <c r="M203" s="2"/>
    </row>
    <row r="204" spans="1:13" x14ac:dyDescent="0.25">
      <c r="A204" s="1">
        <f>IF(OR(A203="",F203=0,A203=Refinance_Calculator!$C$29),"",A203+1)</f>
        <v>199</v>
      </c>
      <c r="B204" s="3">
        <f t="shared" si="24"/>
        <v>9968.9037088916339</v>
      </c>
      <c r="C204" s="3">
        <f>IF(A204="","",(-PMT(Refinance_Calculator!$C$26/12,Refinance_Calculator!$C$29,Refinance_Calculator!$C$23,0,0)))</f>
        <v>89.932578772912834</v>
      </c>
      <c r="D204" s="3">
        <f t="shared" si="25"/>
        <v>49.844518544458175</v>
      </c>
      <c r="E204" s="3">
        <f>IF(A204="","",(-PPMT(Refinance_Calculator!$C$26/12,'Internal Working'!A204,Refinance_Calculator!$C$29,Refinance_Calculator!$C$23,0,0)))</f>
        <v>40.088060228454658</v>
      </c>
      <c r="F204" s="3">
        <f t="shared" si="26"/>
        <v>9928.8156486631797</v>
      </c>
      <c r="G204" s="5">
        <f t="shared" si="27"/>
        <v>40.088060228454658</v>
      </c>
      <c r="H204" s="36">
        <f t="shared" si="28"/>
        <v>49.844518544458175</v>
      </c>
      <c r="I204" s="37" t="str">
        <f ca="1">+IF(A204 &lt;= $L$2, (Full_Report!C284-'Internal Working'!C204),"")</f>
        <v/>
      </c>
      <c r="J204" s="37" t="str">
        <f t="shared" ca="1" si="30"/>
        <v>0</v>
      </c>
      <c r="K204" s="35">
        <f t="shared" ca="1" si="31"/>
        <v>-1618.786417912431</v>
      </c>
      <c r="L204" s="35">
        <f t="shared" ca="1" si="29"/>
        <v>-1618.786417912431</v>
      </c>
      <c r="M204" s="2"/>
    </row>
    <row r="205" spans="1:13" x14ac:dyDescent="0.25">
      <c r="A205" s="1">
        <f>IF(OR(A204="",F204=0,A204=Refinance_Calculator!$C$29),"",A204+1)</f>
        <v>200</v>
      </c>
      <c r="B205" s="3">
        <f t="shared" si="24"/>
        <v>9928.8156486631797</v>
      </c>
      <c r="C205" s="3">
        <f>IF(A205="","",(-PMT(Refinance_Calculator!$C$26/12,Refinance_Calculator!$C$29,Refinance_Calculator!$C$23,0,0)))</f>
        <v>89.932578772912834</v>
      </c>
      <c r="D205" s="3">
        <f t="shared" si="25"/>
        <v>49.644078243315903</v>
      </c>
      <c r="E205" s="3">
        <f>IF(A205="","",(-PPMT(Refinance_Calculator!$C$26/12,'Internal Working'!A205,Refinance_Calculator!$C$29,Refinance_Calculator!$C$23,0,0)))</f>
        <v>40.288500529596931</v>
      </c>
      <c r="F205" s="3">
        <f t="shared" si="26"/>
        <v>9888.5271481335822</v>
      </c>
      <c r="G205" s="5">
        <f t="shared" si="27"/>
        <v>40.288500529596931</v>
      </c>
      <c r="H205" s="36">
        <f t="shared" si="28"/>
        <v>49.644078243315903</v>
      </c>
      <c r="I205" s="37" t="str">
        <f ca="1">+IF(A205 &lt;= $L$2, (Full_Report!C285-'Internal Working'!C205),"")</f>
        <v/>
      </c>
      <c r="J205" s="37" t="str">
        <f t="shared" ca="1" si="30"/>
        <v>0</v>
      </c>
      <c r="K205" s="35">
        <f t="shared" ca="1" si="31"/>
        <v>-1708.7189966853439</v>
      </c>
      <c r="L205" s="35">
        <f t="shared" ca="1" si="29"/>
        <v>-1708.7189966853439</v>
      </c>
      <c r="M205" s="2"/>
    </row>
    <row r="206" spans="1:13" x14ac:dyDescent="0.25">
      <c r="A206" s="1">
        <f>IF(OR(A205="",F205=0,A205=Refinance_Calculator!$C$29),"",A205+1)</f>
        <v>201</v>
      </c>
      <c r="B206" s="3">
        <f t="shared" si="24"/>
        <v>9888.5271481335822</v>
      </c>
      <c r="C206" s="3">
        <f>IF(A206="","",(-PMT(Refinance_Calculator!$C$26/12,Refinance_Calculator!$C$29,Refinance_Calculator!$C$23,0,0)))</f>
        <v>89.932578772912834</v>
      </c>
      <c r="D206" s="3">
        <f t="shared" si="25"/>
        <v>49.442635740667917</v>
      </c>
      <c r="E206" s="3">
        <f>IF(A206="","",(-PPMT(Refinance_Calculator!$C$26/12,'Internal Working'!A206,Refinance_Calculator!$C$29,Refinance_Calculator!$C$23,0,0)))</f>
        <v>40.489943032244916</v>
      </c>
      <c r="F206" s="3">
        <f t="shared" si="26"/>
        <v>9848.0372051013364</v>
      </c>
      <c r="G206" s="5">
        <f t="shared" si="27"/>
        <v>40.489943032244916</v>
      </c>
      <c r="H206" s="36">
        <f t="shared" si="28"/>
        <v>49.442635740667917</v>
      </c>
      <c r="I206" s="37" t="str">
        <f ca="1">+IF(A206 &lt;= $L$2, (Full_Report!C286-'Internal Working'!C206),"")</f>
        <v/>
      </c>
      <c r="J206" s="37" t="str">
        <f t="shared" ca="1" si="30"/>
        <v>0</v>
      </c>
      <c r="K206" s="35">
        <f t="shared" ca="1" si="31"/>
        <v>-1798.6515754582567</v>
      </c>
      <c r="L206" s="35">
        <f t="shared" ca="1" si="29"/>
        <v>-1798.6515754582567</v>
      </c>
      <c r="M206" s="2"/>
    </row>
    <row r="207" spans="1:13" x14ac:dyDescent="0.25">
      <c r="A207" s="1">
        <f>IF(OR(A206="",F206=0,A206=Refinance_Calculator!$C$29),"",A206+1)</f>
        <v>202</v>
      </c>
      <c r="B207" s="3">
        <f t="shared" si="24"/>
        <v>9848.0372051013364</v>
      </c>
      <c r="C207" s="3">
        <f>IF(A207="","",(-PMT(Refinance_Calculator!$C$26/12,Refinance_Calculator!$C$29,Refinance_Calculator!$C$23,0,0)))</f>
        <v>89.932578772912834</v>
      </c>
      <c r="D207" s="3">
        <f t="shared" si="25"/>
        <v>49.240186025506688</v>
      </c>
      <c r="E207" s="3">
        <f>IF(A207="","",(-PPMT(Refinance_Calculator!$C$26/12,'Internal Working'!A207,Refinance_Calculator!$C$29,Refinance_Calculator!$C$23,0,0)))</f>
        <v>40.692392747406146</v>
      </c>
      <c r="F207" s="3">
        <f t="shared" si="26"/>
        <v>9807.344812353931</v>
      </c>
      <c r="G207" s="5">
        <f t="shared" si="27"/>
        <v>40.692392747406146</v>
      </c>
      <c r="H207" s="36">
        <f t="shared" si="28"/>
        <v>49.240186025506688</v>
      </c>
      <c r="I207" s="37" t="str">
        <f ca="1">+IF(A207 &lt;= $L$2, (Full_Report!C287-'Internal Working'!C207),"")</f>
        <v/>
      </c>
      <c r="J207" s="37" t="str">
        <f t="shared" ca="1" si="30"/>
        <v>0</v>
      </c>
      <c r="K207" s="35">
        <f t="shared" ca="1" si="31"/>
        <v>-1888.5841542311696</v>
      </c>
      <c r="L207" s="35">
        <f t="shared" ca="1" si="29"/>
        <v>-1888.5841542311696</v>
      </c>
      <c r="M207" s="2"/>
    </row>
    <row r="208" spans="1:13" x14ac:dyDescent="0.25">
      <c r="A208" s="1">
        <f>IF(OR(A207="",F207=0,A207=Refinance_Calculator!$C$29),"",A207+1)</f>
        <v>203</v>
      </c>
      <c r="B208" s="3">
        <f t="shared" si="24"/>
        <v>9807.344812353931</v>
      </c>
      <c r="C208" s="3">
        <f>IF(A208="","",(-PMT(Refinance_Calculator!$C$26/12,Refinance_Calculator!$C$29,Refinance_Calculator!$C$23,0,0)))</f>
        <v>89.932578772912834</v>
      </c>
      <c r="D208" s="3">
        <f t="shared" si="25"/>
        <v>49.036724061769661</v>
      </c>
      <c r="E208" s="3">
        <f>IF(A208="","",(-PPMT(Refinance_Calculator!$C$26/12,'Internal Working'!A208,Refinance_Calculator!$C$29,Refinance_Calculator!$C$23,0,0)))</f>
        <v>40.895854711143173</v>
      </c>
      <c r="F208" s="3">
        <f t="shared" si="26"/>
        <v>9766.4489576427877</v>
      </c>
      <c r="G208" s="5">
        <f t="shared" si="27"/>
        <v>40.895854711143173</v>
      </c>
      <c r="H208" s="36">
        <f t="shared" si="28"/>
        <v>49.036724061769661</v>
      </c>
      <c r="I208" s="37" t="str">
        <f ca="1">+IF(A208 &lt;= $L$2, (Full_Report!C288-'Internal Working'!C208),"")</f>
        <v/>
      </c>
      <c r="J208" s="37" t="str">
        <f t="shared" ca="1" si="30"/>
        <v>0</v>
      </c>
      <c r="K208" s="35">
        <f t="shared" ca="1" si="31"/>
        <v>-1978.5167330040824</v>
      </c>
      <c r="L208" s="35">
        <f t="shared" ca="1" si="29"/>
        <v>-1978.5167330040824</v>
      </c>
      <c r="M208" s="2"/>
    </row>
    <row r="209" spans="1:13" x14ac:dyDescent="0.25">
      <c r="A209" s="1">
        <f>IF(OR(A208="",F208=0,A208=Refinance_Calculator!$C$29),"",A208+1)</f>
        <v>204</v>
      </c>
      <c r="B209" s="3">
        <f t="shared" si="24"/>
        <v>9766.4489576427877</v>
      </c>
      <c r="C209" s="3">
        <f>IF(A209="","",(-PMT(Refinance_Calculator!$C$26/12,Refinance_Calculator!$C$29,Refinance_Calculator!$C$23,0,0)))</f>
        <v>89.932578772912834</v>
      </c>
      <c r="D209" s="3">
        <f t="shared" si="25"/>
        <v>48.832244788213949</v>
      </c>
      <c r="E209" s="3">
        <f>IF(A209="","",(-PPMT(Refinance_Calculator!$C$26/12,'Internal Working'!A209,Refinance_Calculator!$C$29,Refinance_Calculator!$C$23,0,0)))</f>
        <v>41.100333984698885</v>
      </c>
      <c r="F209" s="3">
        <f t="shared" si="26"/>
        <v>9725.3486236580884</v>
      </c>
      <c r="G209" s="5">
        <f t="shared" si="27"/>
        <v>41.100333984698885</v>
      </c>
      <c r="H209" s="36">
        <f t="shared" si="28"/>
        <v>48.832244788213949</v>
      </c>
      <c r="I209" s="37" t="str">
        <f ca="1">+IF(A209 &lt;= $L$2, (Full_Report!C289-'Internal Working'!C209),"")</f>
        <v/>
      </c>
      <c r="J209" s="37" t="str">
        <f t="shared" ca="1" si="30"/>
        <v>0</v>
      </c>
      <c r="K209" s="35">
        <f t="shared" ca="1" si="31"/>
        <v>-2068.4493117769953</v>
      </c>
      <c r="L209" s="35">
        <f t="shared" ca="1" si="29"/>
        <v>-2068.4493117769953</v>
      </c>
      <c r="M209" s="2"/>
    </row>
    <row r="210" spans="1:13" x14ac:dyDescent="0.25">
      <c r="A210" s="1">
        <f>IF(OR(A209="",F209=0,A209=Refinance_Calculator!$C$29),"",A209+1)</f>
        <v>205</v>
      </c>
      <c r="B210" s="3">
        <f t="shared" ref="B210:B273" si="32">IF(A210="","",(F209))</f>
        <v>9725.3486236580884</v>
      </c>
      <c r="C210" s="3">
        <f>IF(A210="","",(-PMT(Refinance_Calculator!$C$26/12,Refinance_Calculator!$C$29,Refinance_Calculator!$C$23,0,0)))</f>
        <v>89.932578772912834</v>
      </c>
      <c r="D210" s="3">
        <f t="shared" ref="D210:D273" si="33">+IF(A210="","",(C210-E210))</f>
        <v>48.626743118290456</v>
      </c>
      <c r="E210" s="3">
        <f>IF(A210="","",(-PPMT(Refinance_Calculator!$C$26/12,'Internal Working'!A210,Refinance_Calculator!$C$29,Refinance_Calculator!$C$23,0,0)))</f>
        <v>41.305835654622378</v>
      </c>
      <c r="F210" s="3">
        <f t="shared" ref="F210:F273" si="34">+IF(A210="","",(B210-E210))</f>
        <v>9684.0427880034658</v>
      </c>
      <c r="G210" s="5">
        <f t="shared" ref="G210:G273" si="35">+E210</f>
        <v>41.305835654622378</v>
      </c>
      <c r="H210" s="36">
        <f t="shared" ref="H210:H273" si="36">+D210</f>
        <v>48.626743118290456</v>
      </c>
      <c r="I210" s="37" t="str">
        <f ca="1">+IF(A210 &lt;= $L$2, (Full_Report!C290-'Internal Working'!C210),"")</f>
        <v/>
      </c>
      <c r="J210" s="37" t="str">
        <f t="shared" ca="1" si="30"/>
        <v>0</v>
      </c>
      <c r="K210" s="35">
        <f t="shared" ca="1" si="31"/>
        <v>-2158.3818905499079</v>
      </c>
      <c r="L210" s="35">
        <f t="shared" ca="1" si="29"/>
        <v>-2158.3818905499079</v>
      </c>
      <c r="M210" s="2"/>
    </row>
    <row r="211" spans="1:13" x14ac:dyDescent="0.25">
      <c r="A211" s="1">
        <f>IF(OR(A210="",F210=0,A210=Refinance_Calculator!$C$29),"",A210+1)</f>
        <v>206</v>
      </c>
      <c r="B211" s="3">
        <f t="shared" si="32"/>
        <v>9684.0427880034658</v>
      </c>
      <c r="C211" s="3">
        <f>IF(A211="","",(-PMT(Refinance_Calculator!$C$26/12,Refinance_Calculator!$C$29,Refinance_Calculator!$C$23,0,0)))</f>
        <v>89.932578772912834</v>
      </c>
      <c r="D211" s="3">
        <f t="shared" si="33"/>
        <v>48.420213940017341</v>
      </c>
      <c r="E211" s="3">
        <f>IF(A211="","",(-PPMT(Refinance_Calculator!$C$26/12,'Internal Working'!A211,Refinance_Calculator!$C$29,Refinance_Calculator!$C$23,0,0)))</f>
        <v>41.512364832895493</v>
      </c>
      <c r="F211" s="3">
        <f t="shared" si="34"/>
        <v>9642.5304231705704</v>
      </c>
      <c r="G211" s="5">
        <f t="shared" si="35"/>
        <v>41.512364832895493</v>
      </c>
      <c r="H211" s="36">
        <f t="shared" si="36"/>
        <v>48.420213940017341</v>
      </c>
      <c r="I211" s="37" t="str">
        <f ca="1">+IF(A211 &lt;= $L$2, (Full_Report!C291-'Internal Working'!C211),"")</f>
        <v/>
      </c>
      <c r="J211" s="37" t="str">
        <f t="shared" ca="1" si="30"/>
        <v>0</v>
      </c>
      <c r="K211" s="35">
        <f t="shared" ca="1" si="31"/>
        <v>-2248.3144693228205</v>
      </c>
      <c r="L211" s="35">
        <f t="shared" ca="1" si="29"/>
        <v>-2248.3144693228205</v>
      </c>
      <c r="M211" s="2"/>
    </row>
    <row r="212" spans="1:13" x14ac:dyDescent="0.25">
      <c r="A212" s="1">
        <f>IF(OR(A211="",F211=0,A211=Refinance_Calculator!$C$29),"",A211+1)</f>
        <v>207</v>
      </c>
      <c r="B212" s="3">
        <f t="shared" si="32"/>
        <v>9642.5304231705704</v>
      </c>
      <c r="C212" s="3">
        <f>IF(A212="","",(-PMT(Refinance_Calculator!$C$26/12,Refinance_Calculator!$C$29,Refinance_Calculator!$C$23,0,0)))</f>
        <v>89.932578772912834</v>
      </c>
      <c r="D212" s="3">
        <f t="shared" si="33"/>
        <v>48.212652115852862</v>
      </c>
      <c r="E212" s="3">
        <f>IF(A212="","",(-PPMT(Refinance_Calculator!$C$26/12,'Internal Working'!A212,Refinance_Calculator!$C$29,Refinance_Calculator!$C$23,0,0)))</f>
        <v>41.719926657059972</v>
      </c>
      <c r="F212" s="3">
        <f t="shared" si="34"/>
        <v>9600.8104965135099</v>
      </c>
      <c r="G212" s="5">
        <f t="shared" si="35"/>
        <v>41.719926657059972</v>
      </c>
      <c r="H212" s="36">
        <f t="shared" si="36"/>
        <v>48.212652115852862</v>
      </c>
      <c r="I212" s="37" t="str">
        <f ca="1">+IF(A212 &lt;= $L$2, (Full_Report!C292-'Internal Working'!C212),"")</f>
        <v/>
      </c>
      <c r="J212" s="37" t="str">
        <f t="shared" ca="1" si="30"/>
        <v>0</v>
      </c>
      <c r="K212" s="35">
        <f t="shared" ca="1" si="31"/>
        <v>-2338.2470480957331</v>
      </c>
      <c r="L212" s="35">
        <f t="shared" ca="1" si="29"/>
        <v>-2338.2470480957331</v>
      </c>
      <c r="M212" s="2"/>
    </row>
    <row r="213" spans="1:13" x14ac:dyDescent="0.25">
      <c r="A213" s="1">
        <f>IF(OR(A212="",F212=0,A212=Refinance_Calculator!$C$29),"",A212+1)</f>
        <v>208</v>
      </c>
      <c r="B213" s="3">
        <f t="shared" si="32"/>
        <v>9600.8104965135099</v>
      </c>
      <c r="C213" s="3">
        <f>IF(A213="","",(-PMT(Refinance_Calculator!$C$26/12,Refinance_Calculator!$C$29,Refinance_Calculator!$C$23,0,0)))</f>
        <v>89.932578772912834</v>
      </c>
      <c r="D213" s="3">
        <f t="shared" si="33"/>
        <v>48.004052482567559</v>
      </c>
      <c r="E213" s="3">
        <f>IF(A213="","",(-PPMT(Refinance_Calculator!$C$26/12,'Internal Working'!A213,Refinance_Calculator!$C$29,Refinance_Calculator!$C$23,0,0)))</f>
        <v>41.928526290345275</v>
      </c>
      <c r="F213" s="3">
        <f t="shared" si="34"/>
        <v>9558.8819702231649</v>
      </c>
      <c r="G213" s="5">
        <f t="shared" si="35"/>
        <v>41.928526290345275</v>
      </c>
      <c r="H213" s="36">
        <f t="shared" si="36"/>
        <v>48.004052482567559</v>
      </c>
      <c r="I213" s="37" t="str">
        <f ca="1">+IF(A213 &lt;= $L$2, (Full_Report!C293-'Internal Working'!C213),"")</f>
        <v/>
      </c>
      <c r="J213" s="37" t="str">
        <f t="shared" ca="1" si="30"/>
        <v>0</v>
      </c>
      <c r="K213" s="35">
        <f t="shared" ca="1" si="31"/>
        <v>-2428.1796268686458</v>
      </c>
      <c r="L213" s="35">
        <f t="shared" ca="1" si="29"/>
        <v>-2428.1796268686458</v>
      </c>
      <c r="M213" s="2"/>
    </row>
    <row r="214" spans="1:13" x14ac:dyDescent="0.25">
      <c r="A214" s="1">
        <f>IF(OR(A213="",F213=0,A213=Refinance_Calculator!$C$29),"",A213+1)</f>
        <v>209</v>
      </c>
      <c r="B214" s="3">
        <f t="shared" si="32"/>
        <v>9558.8819702231649</v>
      </c>
      <c r="C214" s="3">
        <f>IF(A214="","",(-PMT(Refinance_Calculator!$C$26/12,Refinance_Calculator!$C$29,Refinance_Calculator!$C$23,0,0)))</f>
        <v>89.932578772912834</v>
      </c>
      <c r="D214" s="3">
        <f t="shared" si="33"/>
        <v>47.794409851115837</v>
      </c>
      <c r="E214" s="3">
        <f>IF(A214="","",(-PPMT(Refinance_Calculator!$C$26/12,'Internal Working'!A214,Refinance_Calculator!$C$29,Refinance_Calculator!$C$23,0,0)))</f>
        <v>42.138168921796996</v>
      </c>
      <c r="F214" s="3">
        <f t="shared" si="34"/>
        <v>9516.7438013013671</v>
      </c>
      <c r="G214" s="5">
        <f t="shared" si="35"/>
        <v>42.138168921796996</v>
      </c>
      <c r="H214" s="36">
        <f t="shared" si="36"/>
        <v>47.794409851115837</v>
      </c>
      <c r="I214" s="37" t="str">
        <f ca="1">+IF(A214 &lt;= $L$2, (Full_Report!C294-'Internal Working'!C214),"")</f>
        <v/>
      </c>
      <c r="J214" s="37" t="str">
        <f t="shared" ca="1" si="30"/>
        <v>0</v>
      </c>
      <c r="K214" s="35">
        <f t="shared" ca="1" si="31"/>
        <v>-2518.1122056415584</v>
      </c>
      <c r="L214" s="35">
        <f t="shared" ca="1" si="29"/>
        <v>-2518.1122056415584</v>
      </c>
      <c r="M214" s="2"/>
    </row>
    <row r="215" spans="1:13" x14ac:dyDescent="0.25">
      <c r="A215" s="1">
        <f>IF(OR(A214="",F214=0,A214=Refinance_Calculator!$C$29),"",A214+1)</f>
        <v>210</v>
      </c>
      <c r="B215" s="3">
        <f t="shared" si="32"/>
        <v>9516.7438013013671</v>
      </c>
      <c r="C215" s="3">
        <f>IF(A215="","",(-PMT(Refinance_Calculator!$C$26/12,Refinance_Calculator!$C$29,Refinance_Calculator!$C$23,0,0)))</f>
        <v>89.932578772912834</v>
      </c>
      <c r="D215" s="3">
        <f t="shared" si="33"/>
        <v>47.583719006506847</v>
      </c>
      <c r="E215" s="3">
        <f>IF(A215="","",(-PPMT(Refinance_Calculator!$C$26/12,'Internal Working'!A215,Refinance_Calculator!$C$29,Refinance_Calculator!$C$23,0,0)))</f>
        <v>42.348859766405987</v>
      </c>
      <c r="F215" s="3">
        <f t="shared" si="34"/>
        <v>9474.3949415349616</v>
      </c>
      <c r="G215" s="5">
        <f t="shared" si="35"/>
        <v>42.348859766405987</v>
      </c>
      <c r="H215" s="36">
        <f t="shared" si="36"/>
        <v>47.583719006506847</v>
      </c>
      <c r="I215" s="37" t="str">
        <f ca="1">+IF(A215 &lt;= $L$2, (Full_Report!C295-'Internal Working'!C215),"")</f>
        <v/>
      </c>
      <c r="J215" s="37" t="str">
        <f t="shared" ca="1" si="30"/>
        <v>0</v>
      </c>
      <c r="K215" s="35">
        <f t="shared" ca="1" si="31"/>
        <v>-2608.044784414471</v>
      </c>
      <c r="L215" s="35">
        <f t="shared" ca="1" si="29"/>
        <v>-2608.044784414471</v>
      </c>
      <c r="M215" s="2"/>
    </row>
    <row r="216" spans="1:13" x14ac:dyDescent="0.25">
      <c r="A216" s="1">
        <f>IF(OR(A215="",F215=0,A215=Refinance_Calculator!$C$29),"",A215+1)</f>
        <v>211</v>
      </c>
      <c r="B216" s="3">
        <f t="shared" si="32"/>
        <v>9474.3949415349616</v>
      </c>
      <c r="C216" s="3">
        <f>IF(A216="","",(-PMT(Refinance_Calculator!$C$26/12,Refinance_Calculator!$C$29,Refinance_Calculator!$C$23,0,0)))</f>
        <v>89.932578772912834</v>
      </c>
      <c r="D216" s="3">
        <f t="shared" si="33"/>
        <v>47.371974707674823</v>
      </c>
      <c r="E216" s="3">
        <f>IF(A216="","",(-PPMT(Refinance_Calculator!$C$26/12,'Internal Working'!A216,Refinance_Calculator!$C$29,Refinance_Calculator!$C$23,0,0)))</f>
        <v>42.56060406523801</v>
      </c>
      <c r="F216" s="3">
        <f t="shared" si="34"/>
        <v>9431.8343374697233</v>
      </c>
      <c r="G216" s="5">
        <f t="shared" si="35"/>
        <v>42.56060406523801</v>
      </c>
      <c r="H216" s="36">
        <f t="shared" si="36"/>
        <v>47.371974707674823</v>
      </c>
      <c r="I216" s="37" t="str">
        <f ca="1">+IF(A216 &lt;= $L$2, (Full_Report!C296-'Internal Working'!C216),"")</f>
        <v/>
      </c>
      <c r="J216" s="37" t="str">
        <f t="shared" ca="1" si="30"/>
        <v>0</v>
      </c>
      <c r="K216" s="35">
        <f t="shared" ca="1" si="31"/>
        <v>-2697.9773631873836</v>
      </c>
      <c r="L216" s="35">
        <f t="shared" ca="1" si="29"/>
        <v>-2697.9773631873836</v>
      </c>
      <c r="M216" s="2"/>
    </row>
    <row r="217" spans="1:13" x14ac:dyDescent="0.25">
      <c r="A217" s="1">
        <f>IF(OR(A216="",F216=0,A216=Refinance_Calculator!$C$29),"",A216+1)</f>
        <v>212</v>
      </c>
      <c r="B217" s="3">
        <f t="shared" si="32"/>
        <v>9431.8343374697233</v>
      </c>
      <c r="C217" s="3">
        <f>IF(A217="","",(-PMT(Refinance_Calculator!$C$26/12,Refinance_Calculator!$C$29,Refinance_Calculator!$C$23,0,0)))</f>
        <v>89.932578772912834</v>
      </c>
      <c r="D217" s="3">
        <f t="shared" si="33"/>
        <v>47.159171687348632</v>
      </c>
      <c r="E217" s="3">
        <f>IF(A217="","",(-PPMT(Refinance_Calculator!$C$26/12,'Internal Working'!A217,Refinance_Calculator!$C$29,Refinance_Calculator!$C$23,0,0)))</f>
        <v>42.773407085564202</v>
      </c>
      <c r="F217" s="3">
        <f t="shared" si="34"/>
        <v>9389.0609303841593</v>
      </c>
      <c r="G217" s="5">
        <f t="shared" si="35"/>
        <v>42.773407085564202</v>
      </c>
      <c r="H217" s="36">
        <f t="shared" si="36"/>
        <v>47.159171687348632</v>
      </c>
      <c r="I217" s="37" t="str">
        <f ca="1">+IF(A217 &lt;= $L$2, (Full_Report!C297-'Internal Working'!C217),"")</f>
        <v/>
      </c>
      <c r="J217" s="37" t="str">
        <f t="shared" ca="1" si="30"/>
        <v>0</v>
      </c>
      <c r="K217" s="35">
        <f t="shared" ca="1" si="31"/>
        <v>-2787.9099419602962</v>
      </c>
      <c r="L217" s="35">
        <f t="shared" ca="1" si="29"/>
        <v>-2787.9099419602962</v>
      </c>
      <c r="M217" s="2"/>
    </row>
    <row r="218" spans="1:13" x14ac:dyDescent="0.25">
      <c r="A218" s="1">
        <f>IF(OR(A217="",F217=0,A217=Refinance_Calculator!$C$29),"",A217+1)</f>
        <v>213</v>
      </c>
      <c r="B218" s="3">
        <f t="shared" si="32"/>
        <v>9389.0609303841593</v>
      </c>
      <c r="C218" s="3">
        <f>IF(A218="","",(-PMT(Refinance_Calculator!$C$26/12,Refinance_Calculator!$C$29,Refinance_Calculator!$C$23,0,0)))</f>
        <v>89.932578772912834</v>
      </c>
      <c r="D218" s="3">
        <f t="shared" si="33"/>
        <v>46.945304651920807</v>
      </c>
      <c r="E218" s="3">
        <f>IF(A218="","",(-PPMT(Refinance_Calculator!$C$26/12,'Internal Working'!A218,Refinance_Calculator!$C$29,Refinance_Calculator!$C$23,0,0)))</f>
        <v>42.987274120992026</v>
      </c>
      <c r="F218" s="3">
        <f t="shared" si="34"/>
        <v>9346.0736562631664</v>
      </c>
      <c r="G218" s="5">
        <f t="shared" si="35"/>
        <v>42.987274120992026</v>
      </c>
      <c r="H218" s="36">
        <f t="shared" si="36"/>
        <v>46.945304651920807</v>
      </c>
      <c r="I218" s="37" t="str">
        <f ca="1">+IF(A218 &lt;= $L$2, (Full_Report!C298-'Internal Working'!C218),"")</f>
        <v/>
      </c>
      <c r="J218" s="37" t="str">
        <f t="shared" ca="1" si="30"/>
        <v>0</v>
      </c>
      <c r="K218" s="35">
        <f t="shared" ca="1" si="31"/>
        <v>-2877.8425207332089</v>
      </c>
      <c r="L218" s="35">
        <f t="shared" ca="1" si="29"/>
        <v>-2877.8425207332089</v>
      </c>
      <c r="M218" s="2"/>
    </row>
    <row r="219" spans="1:13" x14ac:dyDescent="0.25">
      <c r="A219" s="1">
        <f>IF(OR(A218="",F218=0,A218=Refinance_Calculator!$C$29),"",A218+1)</f>
        <v>214</v>
      </c>
      <c r="B219" s="3">
        <f t="shared" si="32"/>
        <v>9346.0736562631664</v>
      </c>
      <c r="C219" s="3">
        <f>IF(A219="","",(-PMT(Refinance_Calculator!$C$26/12,Refinance_Calculator!$C$29,Refinance_Calculator!$C$23,0,0)))</f>
        <v>89.932578772912834</v>
      </c>
      <c r="D219" s="3">
        <f t="shared" si="33"/>
        <v>46.730368281315855</v>
      </c>
      <c r="E219" s="3">
        <f>IF(A219="","",(-PPMT(Refinance_Calculator!$C$26/12,'Internal Working'!A219,Refinance_Calculator!$C$29,Refinance_Calculator!$C$23,0,0)))</f>
        <v>43.202210491596979</v>
      </c>
      <c r="F219" s="3">
        <f t="shared" si="34"/>
        <v>9302.8714457715687</v>
      </c>
      <c r="G219" s="5">
        <f t="shared" si="35"/>
        <v>43.202210491596979</v>
      </c>
      <c r="H219" s="36">
        <f t="shared" si="36"/>
        <v>46.730368281315855</v>
      </c>
      <c r="I219" s="37" t="str">
        <f ca="1">+IF(A219 &lt;= $L$2, (Full_Report!C299-'Internal Working'!C219),"")</f>
        <v/>
      </c>
      <c r="J219" s="37" t="str">
        <f t="shared" ca="1" si="30"/>
        <v>0</v>
      </c>
      <c r="K219" s="35">
        <f t="shared" ca="1" si="31"/>
        <v>-2967.7750995061215</v>
      </c>
      <c r="L219" s="35">
        <f t="shared" ca="1" si="29"/>
        <v>-2967.7750995061215</v>
      </c>
      <c r="M219" s="2"/>
    </row>
    <row r="220" spans="1:13" x14ac:dyDescent="0.25">
      <c r="A220" s="1">
        <f>IF(OR(A219="",F219=0,A219=Refinance_Calculator!$C$29),"",A219+1)</f>
        <v>215</v>
      </c>
      <c r="B220" s="3">
        <f t="shared" si="32"/>
        <v>9302.8714457715687</v>
      </c>
      <c r="C220" s="3">
        <f>IF(A220="","",(-PMT(Refinance_Calculator!$C$26/12,Refinance_Calculator!$C$29,Refinance_Calculator!$C$23,0,0)))</f>
        <v>89.932578772912834</v>
      </c>
      <c r="D220" s="3">
        <f t="shared" si="33"/>
        <v>46.514357228857868</v>
      </c>
      <c r="E220" s="3">
        <f>IF(A220="","",(-PPMT(Refinance_Calculator!$C$26/12,'Internal Working'!A220,Refinance_Calculator!$C$29,Refinance_Calculator!$C$23,0,0)))</f>
        <v>43.418221544054965</v>
      </c>
      <c r="F220" s="3">
        <f t="shared" si="34"/>
        <v>9259.4532242275145</v>
      </c>
      <c r="G220" s="5">
        <f t="shared" si="35"/>
        <v>43.418221544054965</v>
      </c>
      <c r="H220" s="36">
        <f t="shared" si="36"/>
        <v>46.514357228857868</v>
      </c>
      <c r="I220" s="37" t="str">
        <f ca="1">+IF(A220 &lt;= $L$2, (Full_Report!C300-'Internal Working'!C220),"")</f>
        <v/>
      </c>
      <c r="J220" s="37" t="str">
        <f t="shared" ca="1" si="30"/>
        <v>0</v>
      </c>
      <c r="K220" s="35">
        <f t="shared" ca="1" si="31"/>
        <v>-3057.7076782790341</v>
      </c>
      <c r="L220" s="35">
        <f t="shared" ca="1" si="29"/>
        <v>-3057.7076782790341</v>
      </c>
      <c r="M220" s="2"/>
    </row>
    <row r="221" spans="1:13" x14ac:dyDescent="0.25">
      <c r="A221" s="1">
        <f>IF(OR(A220="",F220=0,A220=Refinance_Calculator!$C$29),"",A220+1)</f>
        <v>216</v>
      </c>
      <c r="B221" s="3">
        <f t="shared" si="32"/>
        <v>9259.4532242275145</v>
      </c>
      <c r="C221" s="3">
        <f>IF(A221="","",(-PMT(Refinance_Calculator!$C$26/12,Refinance_Calculator!$C$29,Refinance_Calculator!$C$23,0,0)))</f>
        <v>89.932578772912834</v>
      </c>
      <c r="D221" s="3">
        <f t="shared" si="33"/>
        <v>46.297266121137596</v>
      </c>
      <c r="E221" s="3">
        <f>IF(A221="","",(-PPMT(Refinance_Calculator!$C$26/12,'Internal Working'!A221,Refinance_Calculator!$C$29,Refinance_Calculator!$C$23,0,0)))</f>
        <v>43.635312651775237</v>
      </c>
      <c r="F221" s="3">
        <f t="shared" si="34"/>
        <v>9215.8179115757393</v>
      </c>
      <c r="G221" s="5">
        <f t="shared" si="35"/>
        <v>43.635312651775237</v>
      </c>
      <c r="H221" s="36">
        <f t="shared" si="36"/>
        <v>46.297266121137596</v>
      </c>
      <c r="I221" s="37" t="str">
        <f ca="1">+IF(A221 &lt;= $L$2, (Full_Report!C301-'Internal Working'!C221),"")</f>
        <v/>
      </c>
      <c r="J221" s="37" t="str">
        <f t="shared" ca="1" si="30"/>
        <v>0</v>
      </c>
      <c r="K221" s="35">
        <f t="shared" ca="1" si="31"/>
        <v>-3147.6402570519467</v>
      </c>
      <c r="L221" s="35">
        <f t="shared" ca="1" si="29"/>
        <v>-3147.6402570519467</v>
      </c>
      <c r="M221" s="2"/>
    </row>
    <row r="222" spans="1:13" x14ac:dyDescent="0.25">
      <c r="A222" s="1">
        <f>IF(OR(A221="",F221=0,A221=Refinance_Calculator!$C$29),"",A221+1)</f>
        <v>217</v>
      </c>
      <c r="B222" s="3">
        <f t="shared" si="32"/>
        <v>9215.8179115757393</v>
      </c>
      <c r="C222" s="3">
        <f>IF(A222="","",(-PMT(Refinance_Calculator!$C$26/12,Refinance_Calculator!$C$29,Refinance_Calculator!$C$23,0,0)))</f>
        <v>89.932578772912834</v>
      </c>
      <c r="D222" s="3">
        <f t="shared" si="33"/>
        <v>46.079089557878717</v>
      </c>
      <c r="E222" s="3">
        <f>IF(A222="","",(-PPMT(Refinance_Calculator!$C$26/12,'Internal Working'!A222,Refinance_Calculator!$C$29,Refinance_Calculator!$C$23,0,0)))</f>
        <v>43.853489215034116</v>
      </c>
      <c r="F222" s="3">
        <f t="shared" si="34"/>
        <v>9171.9644223607047</v>
      </c>
      <c r="G222" s="5">
        <f t="shared" si="35"/>
        <v>43.853489215034116</v>
      </c>
      <c r="H222" s="36">
        <f t="shared" si="36"/>
        <v>46.079089557878717</v>
      </c>
      <c r="I222" s="37" t="str">
        <f ca="1">+IF(A222 &lt;= $L$2, (Full_Report!C302-'Internal Working'!C222),"")</f>
        <v/>
      </c>
      <c r="J222" s="37" t="str">
        <f t="shared" ca="1" si="30"/>
        <v>0</v>
      </c>
      <c r="K222" s="35">
        <f t="shared" ca="1" si="31"/>
        <v>-3237.5728358248593</v>
      </c>
      <c r="L222" s="35">
        <f t="shared" ca="1" si="29"/>
        <v>-3237.5728358248593</v>
      </c>
      <c r="M222" s="2"/>
    </row>
    <row r="223" spans="1:13" x14ac:dyDescent="0.25">
      <c r="A223" s="1">
        <f>IF(OR(A222="",F222=0,A222=Refinance_Calculator!$C$29),"",A222+1)</f>
        <v>218</v>
      </c>
      <c r="B223" s="3">
        <f t="shared" si="32"/>
        <v>9171.9644223607047</v>
      </c>
      <c r="C223" s="3">
        <f>IF(A223="","",(-PMT(Refinance_Calculator!$C$26/12,Refinance_Calculator!$C$29,Refinance_Calculator!$C$23,0,0)))</f>
        <v>89.932578772912834</v>
      </c>
      <c r="D223" s="3">
        <f t="shared" si="33"/>
        <v>45.859822111803545</v>
      </c>
      <c r="E223" s="3">
        <f>IF(A223="","",(-PPMT(Refinance_Calculator!$C$26/12,'Internal Working'!A223,Refinance_Calculator!$C$29,Refinance_Calculator!$C$23,0,0)))</f>
        <v>44.072756661109288</v>
      </c>
      <c r="F223" s="3">
        <f t="shared" si="34"/>
        <v>9127.8916656995953</v>
      </c>
      <c r="G223" s="5">
        <f t="shared" si="35"/>
        <v>44.072756661109288</v>
      </c>
      <c r="H223" s="36">
        <f t="shared" si="36"/>
        <v>45.859822111803545</v>
      </c>
      <c r="I223" s="37" t="str">
        <f ca="1">+IF(A223 &lt;= $L$2, (Full_Report!C303-'Internal Working'!C223),"")</f>
        <v/>
      </c>
      <c r="J223" s="37" t="str">
        <f t="shared" ca="1" si="30"/>
        <v>0</v>
      </c>
      <c r="K223" s="35">
        <f t="shared" ca="1" si="31"/>
        <v>-3327.505414597772</v>
      </c>
      <c r="L223" s="35">
        <f t="shared" ca="1" si="29"/>
        <v>-3327.505414597772</v>
      </c>
      <c r="M223" s="2"/>
    </row>
    <row r="224" spans="1:13" x14ac:dyDescent="0.25">
      <c r="A224" s="1">
        <f>IF(OR(A223="",F223=0,A223=Refinance_Calculator!$C$29),"",A223+1)</f>
        <v>219</v>
      </c>
      <c r="B224" s="3">
        <f t="shared" si="32"/>
        <v>9127.8916656995953</v>
      </c>
      <c r="C224" s="3">
        <f>IF(A224="","",(-PMT(Refinance_Calculator!$C$26/12,Refinance_Calculator!$C$29,Refinance_Calculator!$C$23,0,0)))</f>
        <v>89.932578772912834</v>
      </c>
      <c r="D224" s="3">
        <f t="shared" si="33"/>
        <v>45.639458328497994</v>
      </c>
      <c r="E224" s="3">
        <f>IF(A224="","",(-PPMT(Refinance_Calculator!$C$26/12,'Internal Working'!A224,Refinance_Calculator!$C$29,Refinance_Calculator!$C$23,0,0)))</f>
        <v>44.293120444414839</v>
      </c>
      <c r="F224" s="3">
        <f t="shared" si="34"/>
        <v>9083.5985452551813</v>
      </c>
      <c r="G224" s="5">
        <f t="shared" si="35"/>
        <v>44.293120444414839</v>
      </c>
      <c r="H224" s="36">
        <f t="shared" si="36"/>
        <v>45.639458328497994</v>
      </c>
      <c r="I224" s="37" t="str">
        <f ca="1">+IF(A224 &lt;= $L$2, (Full_Report!C304-'Internal Working'!C224),"")</f>
        <v/>
      </c>
      <c r="J224" s="37" t="str">
        <f t="shared" ca="1" si="30"/>
        <v>0</v>
      </c>
      <c r="K224" s="35">
        <f t="shared" ca="1" si="31"/>
        <v>-3417.4379933706846</v>
      </c>
      <c r="L224" s="35">
        <f t="shared" ca="1" si="29"/>
        <v>-3417.4379933706846</v>
      </c>
      <c r="M224" s="2"/>
    </row>
    <row r="225" spans="1:13" x14ac:dyDescent="0.25">
      <c r="A225" s="1">
        <f>IF(OR(A224="",F224=0,A224=Refinance_Calculator!$C$29),"",A224+1)</f>
        <v>220</v>
      </c>
      <c r="B225" s="3">
        <f t="shared" si="32"/>
        <v>9083.5985452551813</v>
      </c>
      <c r="C225" s="3">
        <f>IF(A225="","",(-PMT(Refinance_Calculator!$C$26/12,Refinance_Calculator!$C$29,Refinance_Calculator!$C$23,0,0)))</f>
        <v>89.932578772912834</v>
      </c>
      <c r="D225" s="3">
        <f t="shared" si="33"/>
        <v>45.417992726275926</v>
      </c>
      <c r="E225" s="3">
        <f>IF(A225="","",(-PPMT(Refinance_Calculator!$C$26/12,'Internal Working'!A225,Refinance_Calculator!$C$29,Refinance_Calculator!$C$23,0,0)))</f>
        <v>44.514586046636907</v>
      </c>
      <c r="F225" s="3">
        <f t="shared" si="34"/>
        <v>9039.0839592085449</v>
      </c>
      <c r="G225" s="5">
        <f t="shared" si="35"/>
        <v>44.514586046636907</v>
      </c>
      <c r="H225" s="36">
        <f t="shared" si="36"/>
        <v>45.417992726275926</v>
      </c>
      <c r="I225" s="37" t="str">
        <f ca="1">+IF(A225 &lt;= $L$2, (Full_Report!C305-'Internal Working'!C225),"")</f>
        <v/>
      </c>
      <c r="J225" s="37" t="str">
        <f t="shared" ca="1" si="30"/>
        <v>0</v>
      </c>
      <c r="K225" s="35">
        <f t="shared" ca="1" si="31"/>
        <v>-3507.3705721435972</v>
      </c>
      <c r="L225" s="35">
        <f t="shared" ca="1" si="29"/>
        <v>-3507.3705721435972</v>
      </c>
      <c r="M225" s="2"/>
    </row>
    <row r="226" spans="1:13" x14ac:dyDescent="0.25">
      <c r="A226" s="1">
        <f>IF(OR(A225="",F225=0,A225=Refinance_Calculator!$C$29),"",A225+1)</f>
        <v>221</v>
      </c>
      <c r="B226" s="3">
        <f t="shared" si="32"/>
        <v>9039.0839592085449</v>
      </c>
      <c r="C226" s="3">
        <f>IF(A226="","",(-PMT(Refinance_Calculator!$C$26/12,Refinance_Calculator!$C$29,Refinance_Calculator!$C$23,0,0)))</f>
        <v>89.932578772912834</v>
      </c>
      <c r="D226" s="3">
        <f t="shared" si="33"/>
        <v>45.195419796042735</v>
      </c>
      <c r="E226" s="3">
        <f>IF(A226="","",(-PPMT(Refinance_Calculator!$C$26/12,'Internal Working'!A226,Refinance_Calculator!$C$29,Refinance_Calculator!$C$23,0,0)))</f>
        <v>44.737158976870099</v>
      </c>
      <c r="F226" s="3">
        <f t="shared" si="34"/>
        <v>8994.3468002316749</v>
      </c>
      <c r="G226" s="5">
        <f t="shared" si="35"/>
        <v>44.737158976870099</v>
      </c>
      <c r="H226" s="36">
        <f t="shared" si="36"/>
        <v>45.195419796042735</v>
      </c>
      <c r="I226" s="37" t="str">
        <f ca="1">+IF(A226 &lt;= $L$2, (Full_Report!C306-'Internal Working'!C226),"")</f>
        <v/>
      </c>
      <c r="J226" s="37" t="str">
        <f t="shared" ca="1" si="30"/>
        <v>0</v>
      </c>
      <c r="K226" s="35">
        <f t="shared" ca="1" si="31"/>
        <v>-3597.3031509165098</v>
      </c>
      <c r="L226" s="35">
        <f t="shared" ca="1" si="29"/>
        <v>-3597.3031509165098</v>
      </c>
      <c r="M226" s="2"/>
    </row>
    <row r="227" spans="1:13" x14ac:dyDescent="0.25">
      <c r="A227" s="1">
        <f>IF(OR(A226="",F226=0,A226=Refinance_Calculator!$C$29),"",A226+1)</f>
        <v>222</v>
      </c>
      <c r="B227" s="3">
        <f t="shared" si="32"/>
        <v>8994.3468002316749</v>
      </c>
      <c r="C227" s="3">
        <f>IF(A227="","",(-PMT(Refinance_Calculator!$C$26/12,Refinance_Calculator!$C$29,Refinance_Calculator!$C$23,0,0)))</f>
        <v>89.932578772912834</v>
      </c>
      <c r="D227" s="3">
        <f t="shared" si="33"/>
        <v>44.971734001158389</v>
      </c>
      <c r="E227" s="3">
        <f>IF(A227="","",(-PPMT(Refinance_Calculator!$C$26/12,'Internal Working'!A227,Refinance_Calculator!$C$29,Refinance_Calculator!$C$23,0,0)))</f>
        <v>44.960844771754445</v>
      </c>
      <c r="F227" s="3">
        <f t="shared" si="34"/>
        <v>8949.3859554599203</v>
      </c>
      <c r="G227" s="5">
        <f t="shared" si="35"/>
        <v>44.960844771754445</v>
      </c>
      <c r="H227" s="36">
        <f t="shared" si="36"/>
        <v>44.971734001158389</v>
      </c>
      <c r="I227" s="37" t="str">
        <f ca="1">+IF(A227 &lt;= $L$2, (Full_Report!C307-'Internal Working'!C227),"")</f>
        <v/>
      </c>
      <c r="J227" s="37" t="str">
        <f t="shared" ca="1" si="30"/>
        <v>0</v>
      </c>
      <c r="K227" s="35">
        <f t="shared" ca="1" si="31"/>
        <v>-3687.2357296894224</v>
      </c>
      <c r="L227" s="35">
        <f t="shared" ca="1" si="29"/>
        <v>-3687.2357296894224</v>
      </c>
      <c r="M227" s="2"/>
    </row>
    <row r="228" spans="1:13" x14ac:dyDescent="0.25">
      <c r="A228" s="1">
        <f>IF(OR(A227="",F227=0,A227=Refinance_Calculator!$C$29),"",A227+1)</f>
        <v>223</v>
      </c>
      <c r="B228" s="3">
        <f t="shared" si="32"/>
        <v>8949.3859554599203</v>
      </c>
      <c r="C228" s="3">
        <f>IF(A228="","",(-PMT(Refinance_Calculator!$C$26/12,Refinance_Calculator!$C$29,Refinance_Calculator!$C$23,0,0)))</f>
        <v>89.932578772912834</v>
      </c>
      <c r="D228" s="3">
        <f t="shared" si="33"/>
        <v>44.746929777299613</v>
      </c>
      <c r="E228" s="3">
        <f>IF(A228="","",(-PPMT(Refinance_Calculator!$C$26/12,'Internal Working'!A228,Refinance_Calculator!$C$29,Refinance_Calculator!$C$23,0,0)))</f>
        <v>45.185648995613221</v>
      </c>
      <c r="F228" s="3">
        <f t="shared" si="34"/>
        <v>8904.2003064643068</v>
      </c>
      <c r="G228" s="5">
        <f t="shared" si="35"/>
        <v>45.185648995613221</v>
      </c>
      <c r="H228" s="36">
        <f t="shared" si="36"/>
        <v>44.746929777299613</v>
      </c>
      <c r="I228" s="37" t="str">
        <f ca="1">+IF(A228 &lt;= $L$2, (Full_Report!C308-'Internal Working'!C228),"")</f>
        <v/>
      </c>
      <c r="J228" s="37" t="str">
        <f t="shared" ca="1" si="30"/>
        <v>0</v>
      </c>
      <c r="K228" s="35">
        <f t="shared" ca="1" si="31"/>
        <v>-3777.1683084623351</v>
      </c>
      <c r="L228" s="35">
        <f t="shared" ca="1" si="29"/>
        <v>-3777.1683084623351</v>
      </c>
      <c r="M228" s="2"/>
    </row>
    <row r="229" spans="1:13" x14ac:dyDescent="0.25">
      <c r="A229" s="1">
        <f>IF(OR(A228="",F228=0,A228=Refinance_Calculator!$C$29),"",A228+1)</f>
        <v>224</v>
      </c>
      <c r="B229" s="3">
        <f t="shared" si="32"/>
        <v>8904.2003064643068</v>
      </c>
      <c r="C229" s="3">
        <f>IF(A229="","",(-PMT(Refinance_Calculator!$C$26/12,Refinance_Calculator!$C$29,Refinance_Calculator!$C$23,0,0)))</f>
        <v>89.932578772912834</v>
      </c>
      <c r="D229" s="3">
        <f t="shared" si="33"/>
        <v>44.521001532321549</v>
      </c>
      <c r="E229" s="3">
        <f>IF(A229="","",(-PPMT(Refinance_Calculator!$C$26/12,'Internal Working'!A229,Refinance_Calculator!$C$29,Refinance_Calculator!$C$23,0,0)))</f>
        <v>45.411577240591285</v>
      </c>
      <c r="F229" s="3">
        <f t="shared" si="34"/>
        <v>8858.7887292237156</v>
      </c>
      <c r="G229" s="5">
        <f t="shared" si="35"/>
        <v>45.411577240591285</v>
      </c>
      <c r="H229" s="36">
        <f t="shared" si="36"/>
        <v>44.521001532321549</v>
      </c>
      <c r="I229" s="37" t="str">
        <f ca="1">+IF(A229 &lt;= $L$2, (Full_Report!C309-'Internal Working'!C229),"")</f>
        <v/>
      </c>
      <c r="J229" s="37" t="str">
        <f t="shared" ca="1" si="30"/>
        <v>0</v>
      </c>
      <c r="K229" s="35">
        <f t="shared" ca="1" si="31"/>
        <v>-3867.1008872352477</v>
      </c>
      <c r="L229" s="35">
        <f t="shared" ca="1" si="29"/>
        <v>-3867.1008872352477</v>
      </c>
      <c r="M229" s="2"/>
    </row>
    <row r="230" spans="1:13" x14ac:dyDescent="0.25">
      <c r="A230" s="1">
        <f>IF(OR(A229="",F229=0,A229=Refinance_Calculator!$C$29),"",A229+1)</f>
        <v>225</v>
      </c>
      <c r="B230" s="3">
        <f t="shared" si="32"/>
        <v>8858.7887292237156</v>
      </c>
      <c r="C230" s="3">
        <f>IF(A230="","",(-PMT(Refinance_Calculator!$C$26/12,Refinance_Calculator!$C$29,Refinance_Calculator!$C$23,0,0)))</f>
        <v>89.932578772912834</v>
      </c>
      <c r="D230" s="3">
        <f t="shared" si="33"/>
        <v>44.293943646118592</v>
      </c>
      <c r="E230" s="3">
        <f>IF(A230="","",(-PPMT(Refinance_Calculator!$C$26/12,'Internal Working'!A230,Refinance_Calculator!$C$29,Refinance_Calculator!$C$23,0,0)))</f>
        <v>45.638635126794242</v>
      </c>
      <c r="F230" s="3">
        <f t="shared" si="34"/>
        <v>8813.1500940969217</v>
      </c>
      <c r="G230" s="5">
        <f t="shared" si="35"/>
        <v>45.638635126794242</v>
      </c>
      <c r="H230" s="36">
        <f t="shared" si="36"/>
        <v>44.293943646118592</v>
      </c>
      <c r="I230" s="37" t="str">
        <f ca="1">+IF(A230 &lt;= $L$2, (Full_Report!C310-'Internal Working'!C230),"")</f>
        <v/>
      </c>
      <c r="J230" s="37" t="str">
        <f t="shared" ca="1" si="30"/>
        <v>0</v>
      </c>
      <c r="K230" s="35">
        <f t="shared" ca="1" si="31"/>
        <v>-3957.0334660081603</v>
      </c>
      <c r="L230" s="35">
        <f t="shared" ca="1" si="29"/>
        <v>-3957.0334660081603</v>
      </c>
      <c r="M230" s="2"/>
    </row>
    <row r="231" spans="1:13" x14ac:dyDescent="0.25">
      <c r="A231" s="1">
        <f>IF(OR(A230="",F230=0,A230=Refinance_Calculator!$C$29),"",A230+1)</f>
        <v>226</v>
      </c>
      <c r="B231" s="3">
        <f t="shared" si="32"/>
        <v>8813.1500940969217</v>
      </c>
      <c r="C231" s="3">
        <f>IF(A231="","",(-PMT(Refinance_Calculator!$C$26/12,Refinance_Calculator!$C$29,Refinance_Calculator!$C$23,0,0)))</f>
        <v>89.932578772912834</v>
      </c>
      <c r="D231" s="3">
        <f t="shared" si="33"/>
        <v>44.065750470484623</v>
      </c>
      <c r="E231" s="3">
        <f>IF(A231="","",(-PPMT(Refinance_Calculator!$C$26/12,'Internal Working'!A231,Refinance_Calculator!$C$29,Refinance_Calculator!$C$23,0,0)))</f>
        <v>45.86682830242821</v>
      </c>
      <c r="F231" s="3">
        <f t="shared" si="34"/>
        <v>8767.2832657944928</v>
      </c>
      <c r="G231" s="5">
        <f t="shared" si="35"/>
        <v>45.86682830242821</v>
      </c>
      <c r="H231" s="36">
        <f t="shared" si="36"/>
        <v>44.065750470484623</v>
      </c>
      <c r="I231" s="37" t="str">
        <f ca="1">+IF(A231 &lt;= $L$2, (Full_Report!C311-'Internal Working'!C231),"")</f>
        <v/>
      </c>
      <c r="J231" s="37" t="str">
        <f t="shared" ca="1" si="30"/>
        <v>0</v>
      </c>
      <c r="K231" s="35">
        <f t="shared" ca="1" si="31"/>
        <v>-4046.9660447810729</v>
      </c>
      <c r="L231" s="35">
        <f t="shared" ca="1" si="29"/>
        <v>-4046.9660447810729</v>
      </c>
      <c r="M231" s="2"/>
    </row>
    <row r="232" spans="1:13" x14ac:dyDescent="0.25">
      <c r="A232" s="1">
        <f>IF(OR(A231="",F231=0,A231=Refinance_Calculator!$C$29),"",A231+1)</f>
        <v>227</v>
      </c>
      <c r="B232" s="3">
        <f t="shared" si="32"/>
        <v>8767.2832657944928</v>
      </c>
      <c r="C232" s="3">
        <f>IF(A232="","",(-PMT(Refinance_Calculator!$C$26/12,Refinance_Calculator!$C$29,Refinance_Calculator!$C$23,0,0)))</f>
        <v>89.932578772912834</v>
      </c>
      <c r="D232" s="3">
        <f t="shared" si="33"/>
        <v>43.836416328972476</v>
      </c>
      <c r="E232" s="3">
        <f>IF(A232="","",(-PPMT(Refinance_Calculator!$C$26/12,'Internal Working'!A232,Refinance_Calculator!$C$29,Refinance_Calculator!$C$23,0,0)))</f>
        <v>46.096162443940358</v>
      </c>
      <c r="F232" s="3">
        <f t="shared" si="34"/>
        <v>8721.1871033505522</v>
      </c>
      <c r="G232" s="5">
        <f t="shared" si="35"/>
        <v>46.096162443940358</v>
      </c>
      <c r="H232" s="36">
        <f t="shared" si="36"/>
        <v>43.836416328972476</v>
      </c>
      <c r="I232" s="37" t="str">
        <f ca="1">+IF(A232 &lt;= $L$2, (Full_Report!C312-'Internal Working'!C232),"")</f>
        <v/>
      </c>
      <c r="J232" s="37" t="str">
        <f t="shared" ca="1" si="30"/>
        <v>0</v>
      </c>
      <c r="K232" s="35">
        <f t="shared" ca="1" si="31"/>
        <v>-4136.898623553986</v>
      </c>
      <c r="L232" s="35">
        <f t="shared" ca="1" si="29"/>
        <v>-4136.898623553986</v>
      </c>
      <c r="M232" s="2"/>
    </row>
    <row r="233" spans="1:13" x14ac:dyDescent="0.25">
      <c r="A233" s="1">
        <f>IF(OR(A232="",F232=0,A232=Refinance_Calculator!$C$29),"",A232+1)</f>
        <v>228</v>
      </c>
      <c r="B233" s="3">
        <f t="shared" si="32"/>
        <v>8721.1871033505522</v>
      </c>
      <c r="C233" s="3">
        <f>IF(A233="","",(-PMT(Refinance_Calculator!$C$26/12,Refinance_Calculator!$C$29,Refinance_Calculator!$C$23,0,0)))</f>
        <v>89.932578772912834</v>
      </c>
      <c r="D233" s="3">
        <f t="shared" si="33"/>
        <v>43.60593551675278</v>
      </c>
      <c r="E233" s="3">
        <f>IF(A233="","",(-PPMT(Refinance_Calculator!$C$26/12,'Internal Working'!A233,Refinance_Calculator!$C$29,Refinance_Calculator!$C$23,0,0)))</f>
        <v>46.326643256160054</v>
      </c>
      <c r="F233" s="3">
        <f t="shared" si="34"/>
        <v>8674.8604600943927</v>
      </c>
      <c r="G233" s="5">
        <f t="shared" si="35"/>
        <v>46.326643256160054</v>
      </c>
      <c r="H233" s="36">
        <f t="shared" si="36"/>
        <v>43.60593551675278</v>
      </c>
      <c r="I233" s="37" t="str">
        <f ca="1">+IF(A233 &lt;= $L$2, (Full_Report!C313-'Internal Working'!C233),"")</f>
        <v/>
      </c>
      <c r="J233" s="37" t="str">
        <f t="shared" ca="1" si="30"/>
        <v>0</v>
      </c>
      <c r="K233" s="35">
        <f t="shared" ca="1" si="31"/>
        <v>-4226.8312023268991</v>
      </c>
      <c r="L233" s="35">
        <f t="shared" ca="1" si="29"/>
        <v>-4226.8312023268991</v>
      </c>
      <c r="M233" s="2"/>
    </row>
    <row r="234" spans="1:13" x14ac:dyDescent="0.25">
      <c r="A234" s="1">
        <f>IF(OR(A233="",F233=0,A233=Refinance_Calculator!$C$29),"",A233+1)</f>
        <v>229</v>
      </c>
      <c r="B234" s="3">
        <f t="shared" si="32"/>
        <v>8674.8604600943927</v>
      </c>
      <c r="C234" s="3">
        <f>IF(A234="","",(-PMT(Refinance_Calculator!$C$26/12,Refinance_Calculator!$C$29,Refinance_Calculator!$C$23,0,0)))</f>
        <v>89.932578772912834</v>
      </c>
      <c r="D234" s="3">
        <f t="shared" si="33"/>
        <v>43.374302300471982</v>
      </c>
      <c r="E234" s="3">
        <f>IF(A234="","",(-PPMT(Refinance_Calculator!$C$26/12,'Internal Working'!A234,Refinance_Calculator!$C$29,Refinance_Calculator!$C$23,0,0)))</f>
        <v>46.558276472440852</v>
      </c>
      <c r="F234" s="3">
        <f t="shared" si="34"/>
        <v>8628.3021836219523</v>
      </c>
      <c r="G234" s="5">
        <f t="shared" si="35"/>
        <v>46.558276472440852</v>
      </c>
      <c r="H234" s="36">
        <f t="shared" si="36"/>
        <v>43.374302300471982</v>
      </c>
      <c r="I234" s="37" t="str">
        <f ca="1">+IF(A234 &lt;= $L$2, (Full_Report!C314-'Internal Working'!C234),"")</f>
        <v/>
      </c>
      <c r="J234" s="37" t="str">
        <f t="shared" ca="1" si="30"/>
        <v>0</v>
      </c>
      <c r="K234" s="35">
        <f t="shared" ca="1" si="31"/>
        <v>-4316.7637810998121</v>
      </c>
      <c r="L234" s="35">
        <f t="shared" ca="1" si="29"/>
        <v>-4316.7637810998121</v>
      </c>
      <c r="M234" s="2"/>
    </row>
    <row r="235" spans="1:13" x14ac:dyDescent="0.25">
      <c r="A235" s="1">
        <f>IF(OR(A234="",F234=0,A234=Refinance_Calculator!$C$29),"",A234+1)</f>
        <v>230</v>
      </c>
      <c r="B235" s="3">
        <f t="shared" si="32"/>
        <v>8628.3021836219523</v>
      </c>
      <c r="C235" s="3">
        <f>IF(A235="","",(-PMT(Refinance_Calculator!$C$26/12,Refinance_Calculator!$C$29,Refinance_Calculator!$C$23,0,0)))</f>
        <v>89.932578772912834</v>
      </c>
      <c r="D235" s="3">
        <f t="shared" si="33"/>
        <v>43.141510918109773</v>
      </c>
      <c r="E235" s="3">
        <f>IF(A235="","",(-PPMT(Refinance_Calculator!$C$26/12,'Internal Working'!A235,Refinance_Calculator!$C$29,Refinance_Calculator!$C$23,0,0)))</f>
        <v>46.79106785480306</v>
      </c>
      <c r="F235" s="3">
        <f t="shared" si="34"/>
        <v>8581.511115767149</v>
      </c>
      <c r="G235" s="5">
        <f t="shared" si="35"/>
        <v>46.79106785480306</v>
      </c>
      <c r="H235" s="36">
        <f t="shared" si="36"/>
        <v>43.141510918109773</v>
      </c>
      <c r="I235" s="37" t="str">
        <f ca="1">+IF(A235 &lt;= $L$2, (Full_Report!C315-'Internal Working'!C235),"")</f>
        <v/>
      </c>
      <c r="J235" s="37" t="str">
        <f t="shared" ca="1" si="30"/>
        <v>0</v>
      </c>
      <c r="K235" s="35">
        <f t="shared" ca="1" si="31"/>
        <v>-4406.6963598727252</v>
      </c>
      <c r="L235" s="35">
        <f t="shared" ca="1" si="29"/>
        <v>-4406.6963598727252</v>
      </c>
      <c r="M235" s="2"/>
    </row>
    <row r="236" spans="1:13" x14ac:dyDescent="0.25">
      <c r="A236" s="1">
        <f>IF(OR(A235="",F235=0,A235=Refinance_Calculator!$C$29),"",A235+1)</f>
        <v>231</v>
      </c>
      <c r="B236" s="3">
        <f t="shared" si="32"/>
        <v>8581.511115767149</v>
      </c>
      <c r="C236" s="3">
        <f>IF(A236="","",(-PMT(Refinance_Calculator!$C$26/12,Refinance_Calculator!$C$29,Refinance_Calculator!$C$23,0,0)))</f>
        <v>89.932578772912834</v>
      </c>
      <c r="D236" s="3">
        <f t="shared" si="33"/>
        <v>42.907555578835755</v>
      </c>
      <c r="E236" s="3">
        <f>IF(A236="","",(-PPMT(Refinance_Calculator!$C$26/12,'Internal Working'!A236,Refinance_Calculator!$C$29,Refinance_Calculator!$C$23,0,0)))</f>
        <v>47.025023194077079</v>
      </c>
      <c r="F236" s="3">
        <f t="shared" si="34"/>
        <v>8534.4860925730718</v>
      </c>
      <c r="G236" s="5">
        <f t="shared" si="35"/>
        <v>47.025023194077079</v>
      </c>
      <c r="H236" s="36">
        <f t="shared" si="36"/>
        <v>42.907555578835755</v>
      </c>
      <c r="I236" s="37" t="str">
        <f ca="1">+IF(A236 &lt;= $L$2, (Full_Report!C316-'Internal Working'!C236),"")</f>
        <v/>
      </c>
      <c r="J236" s="37" t="str">
        <f t="shared" ca="1" si="30"/>
        <v>0</v>
      </c>
      <c r="K236" s="35">
        <f t="shared" ca="1" si="31"/>
        <v>-4496.6289386456383</v>
      </c>
      <c r="L236" s="35">
        <f t="shared" ca="1" si="29"/>
        <v>-4496.6289386456383</v>
      </c>
      <c r="M236" s="2"/>
    </row>
    <row r="237" spans="1:13" x14ac:dyDescent="0.25">
      <c r="A237" s="1">
        <f>IF(OR(A236="",F236=0,A236=Refinance_Calculator!$C$29),"",A236+1)</f>
        <v>232</v>
      </c>
      <c r="B237" s="3">
        <f t="shared" si="32"/>
        <v>8534.4860925730718</v>
      </c>
      <c r="C237" s="3">
        <f>IF(A237="","",(-PMT(Refinance_Calculator!$C$26/12,Refinance_Calculator!$C$29,Refinance_Calculator!$C$23,0,0)))</f>
        <v>89.932578772912834</v>
      </c>
      <c r="D237" s="3">
        <f t="shared" si="33"/>
        <v>42.672430462865378</v>
      </c>
      <c r="E237" s="3">
        <f>IF(A237="","",(-PPMT(Refinance_Calculator!$C$26/12,'Internal Working'!A237,Refinance_Calculator!$C$29,Refinance_Calculator!$C$23,0,0)))</f>
        <v>47.260148310047455</v>
      </c>
      <c r="F237" s="3">
        <f t="shared" si="34"/>
        <v>8487.2259442630238</v>
      </c>
      <c r="G237" s="5">
        <f t="shared" si="35"/>
        <v>47.260148310047455</v>
      </c>
      <c r="H237" s="36">
        <f t="shared" si="36"/>
        <v>42.672430462865378</v>
      </c>
      <c r="I237" s="37" t="str">
        <f ca="1">+IF(A237 &lt;= $L$2, (Full_Report!C317-'Internal Working'!C237),"")</f>
        <v/>
      </c>
      <c r="J237" s="37" t="str">
        <f t="shared" ca="1" si="30"/>
        <v>0</v>
      </c>
      <c r="K237" s="35">
        <f t="shared" ca="1" si="31"/>
        <v>-4586.5615174185514</v>
      </c>
      <c r="L237" s="35">
        <f t="shared" ca="1" si="29"/>
        <v>-4586.5615174185514</v>
      </c>
      <c r="M237" s="2"/>
    </row>
    <row r="238" spans="1:13" x14ac:dyDescent="0.25">
      <c r="A238" s="1">
        <f>IF(OR(A237="",F237=0,A237=Refinance_Calculator!$C$29),"",A237+1)</f>
        <v>233</v>
      </c>
      <c r="B238" s="3">
        <f t="shared" si="32"/>
        <v>8487.2259442630238</v>
      </c>
      <c r="C238" s="3">
        <f>IF(A238="","",(-PMT(Refinance_Calculator!$C$26/12,Refinance_Calculator!$C$29,Refinance_Calculator!$C$23,0,0)))</f>
        <v>89.932578772912834</v>
      </c>
      <c r="D238" s="3">
        <f t="shared" si="33"/>
        <v>42.436129721315133</v>
      </c>
      <c r="E238" s="3">
        <f>IF(A238="","",(-PPMT(Refinance_Calculator!$C$26/12,'Internal Working'!A238,Refinance_Calculator!$C$29,Refinance_Calculator!$C$23,0,0)))</f>
        <v>47.4964490515977</v>
      </c>
      <c r="F238" s="3">
        <f t="shared" si="34"/>
        <v>8439.7294952114262</v>
      </c>
      <c r="G238" s="5">
        <f t="shared" si="35"/>
        <v>47.4964490515977</v>
      </c>
      <c r="H238" s="36">
        <f t="shared" si="36"/>
        <v>42.436129721315133</v>
      </c>
      <c r="I238" s="37" t="str">
        <f ca="1">+IF(A238 &lt;= $L$2, (Full_Report!C318-'Internal Working'!C238),"")</f>
        <v/>
      </c>
      <c r="J238" s="37" t="str">
        <f t="shared" ca="1" si="30"/>
        <v>0</v>
      </c>
      <c r="K238" s="35">
        <f t="shared" ca="1" si="31"/>
        <v>-4676.4940961914645</v>
      </c>
      <c r="L238" s="35">
        <f t="shared" ca="1" si="29"/>
        <v>-4676.4940961914645</v>
      </c>
      <c r="M238" s="2"/>
    </row>
    <row r="239" spans="1:13" x14ac:dyDescent="0.25">
      <c r="A239" s="1">
        <f>IF(OR(A238="",F238=0,A238=Refinance_Calculator!$C$29),"",A238+1)</f>
        <v>234</v>
      </c>
      <c r="B239" s="3">
        <f t="shared" si="32"/>
        <v>8439.7294952114262</v>
      </c>
      <c r="C239" s="3">
        <f>IF(A239="","",(-PMT(Refinance_Calculator!$C$26/12,Refinance_Calculator!$C$29,Refinance_Calculator!$C$23,0,0)))</f>
        <v>89.932578772912834</v>
      </c>
      <c r="D239" s="3">
        <f t="shared" si="33"/>
        <v>42.198647476057154</v>
      </c>
      <c r="E239" s="3">
        <f>IF(A239="","",(-PPMT(Refinance_Calculator!$C$26/12,'Internal Working'!A239,Refinance_Calculator!$C$29,Refinance_Calculator!$C$23,0,0)))</f>
        <v>47.73393129685568</v>
      </c>
      <c r="F239" s="3">
        <f t="shared" si="34"/>
        <v>8391.9955639145701</v>
      </c>
      <c r="G239" s="5">
        <f t="shared" si="35"/>
        <v>47.73393129685568</v>
      </c>
      <c r="H239" s="36">
        <f t="shared" si="36"/>
        <v>42.198647476057154</v>
      </c>
      <c r="I239" s="37" t="str">
        <f ca="1">+IF(A239 &lt;= $L$2, (Full_Report!C319-'Internal Working'!C239),"")</f>
        <v/>
      </c>
      <c r="J239" s="37" t="str">
        <f t="shared" ca="1" si="30"/>
        <v>0</v>
      </c>
      <c r="K239" s="35">
        <f t="shared" ca="1" si="31"/>
        <v>-4766.4266749643775</v>
      </c>
      <c r="L239" s="35">
        <f t="shared" ca="1" si="29"/>
        <v>-4766.4266749643775</v>
      </c>
      <c r="M239" s="2"/>
    </row>
    <row r="240" spans="1:13" x14ac:dyDescent="0.25">
      <c r="A240" s="1">
        <f>IF(OR(A239="",F239=0,A239=Refinance_Calculator!$C$29),"",A239+1)</f>
        <v>235</v>
      </c>
      <c r="B240" s="3">
        <f t="shared" si="32"/>
        <v>8391.9955639145701</v>
      </c>
      <c r="C240" s="3">
        <f>IF(A240="","",(-PMT(Refinance_Calculator!$C$26/12,Refinance_Calculator!$C$29,Refinance_Calculator!$C$23,0,0)))</f>
        <v>89.932578772912834</v>
      </c>
      <c r="D240" s="3">
        <f t="shared" si="33"/>
        <v>41.95997781957287</v>
      </c>
      <c r="E240" s="3">
        <f>IF(A240="","",(-PPMT(Refinance_Calculator!$C$26/12,'Internal Working'!A240,Refinance_Calculator!$C$29,Refinance_Calculator!$C$23,0,0)))</f>
        <v>47.972600953339963</v>
      </c>
      <c r="F240" s="3">
        <f t="shared" si="34"/>
        <v>8344.0229629612295</v>
      </c>
      <c r="G240" s="5">
        <f t="shared" si="35"/>
        <v>47.972600953339963</v>
      </c>
      <c r="H240" s="36">
        <f t="shared" si="36"/>
        <v>41.95997781957287</v>
      </c>
      <c r="I240" s="37" t="str">
        <f ca="1">+IF(A240 &lt;= $L$2, (Full_Report!C320-'Internal Working'!C240),"")</f>
        <v/>
      </c>
      <c r="J240" s="37" t="str">
        <f t="shared" ca="1" si="30"/>
        <v>0</v>
      </c>
      <c r="K240" s="35">
        <f t="shared" ca="1" si="31"/>
        <v>-4856.3592537372906</v>
      </c>
      <c r="L240" s="35">
        <f t="shared" ca="1" si="29"/>
        <v>-4856.3592537372906</v>
      </c>
      <c r="M240" s="2"/>
    </row>
    <row r="241" spans="1:13" x14ac:dyDescent="0.25">
      <c r="A241" s="1">
        <f>IF(OR(A240="",F240=0,A240=Refinance_Calculator!$C$29),"",A240+1)</f>
        <v>236</v>
      </c>
      <c r="B241" s="3">
        <f t="shared" si="32"/>
        <v>8344.0229629612295</v>
      </c>
      <c r="C241" s="3">
        <f>IF(A241="","",(-PMT(Refinance_Calculator!$C$26/12,Refinance_Calculator!$C$29,Refinance_Calculator!$C$23,0,0)))</f>
        <v>89.932578772912834</v>
      </c>
      <c r="D241" s="3">
        <f t="shared" si="33"/>
        <v>41.720114814806166</v>
      </c>
      <c r="E241" s="3">
        <f>IF(A241="","",(-PPMT(Refinance_Calculator!$C$26/12,'Internal Working'!A241,Refinance_Calculator!$C$29,Refinance_Calculator!$C$23,0,0)))</f>
        <v>48.212463958106667</v>
      </c>
      <c r="F241" s="3">
        <f t="shared" si="34"/>
        <v>8295.8104990031225</v>
      </c>
      <c r="G241" s="5">
        <f t="shared" si="35"/>
        <v>48.212463958106667</v>
      </c>
      <c r="H241" s="36">
        <f t="shared" si="36"/>
        <v>41.720114814806166</v>
      </c>
      <c r="I241" s="37" t="str">
        <f ca="1">+IF(A241 &lt;= $L$2, (Full_Report!C321-'Internal Working'!C241),"")</f>
        <v/>
      </c>
      <c r="J241" s="37" t="str">
        <f t="shared" ca="1" si="30"/>
        <v>0</v>
      </c>
      <c r="K241" s="35">
        <f t="shared" ca="1" si="31"/>
        <v>-4946.2918325102037</v>
      </c>
      <c r="L241" s="35">
        <f t="shared" ca="1" si="29"/>
        <v>-4946.2918325102037</v>
      </c>
      <c r="M241" s="2"/>
    </row>
    <row r="242" spans="1:13" x14ac:dyDescent="0.25">
      <c r="A242" s="1">
        <f>IF(OR(A241="",F241=0,A241=Refinance_Calculator!$C$29),"",A241+1)</f>
        <v>237</v>
      </c>
      <c r="B242" s="3">
        <f t="shared" si="32"/>
        <v>8295.8104990031225</v>
      </c>
      <c r="C242" s="3">
        <f>IF(A242="","",(-PMT(Refinance_Calculator!$C$26/12,Refinance_Calculator!$C$29,Refinance_Calculator!$C$23,0,0)))</f>
        <v>89.932578772912834</v>
      </c>
      <c r="D242" s="3">
        <f t="shared" si="33"/>
        <v>41.479052495015637</v>
      </c>
      <c r="E242" s="3">
        <f>IF(A242="","",(-PPMT(Refinance_Calculator!$C$26/12,'Internal Working'!A242,Refinance_Calculator!$C$29,Refinance_Calculator!$C$23,0,0)))</f>
        <v>48.453526277897197</v>
      </c>
      <c r="F242" s="3">
        <f t="shared" si="34"/>
        <v>8247.3569727252252</v>
      </c>
      <c r="G242" s="5">
        <f t="shared" si="35"/>
        <v>48.453526277897197</v>
      </c>
      <c r="H242" s="36">
        <f t="shared" si="36"/>
        <v>41.479052495015637</v>
      </c>
      <c r="I242" s="37" t="str">
        <f ca="1">+IF(A242 &lt;= $L$2, (Full_Report!C322-'Internal Working'!C242),"")</f>
        <v/>
      </c>
      <c r="J242" s="37" t="str">
        <f t="shared" ca="1" si="30"/>
        <v>0</v>
      </c>
      <c r="K242" s="35">
        <f t="shared" ca="1" si="31"/>
        <v>-5036.2244112831168</v>
      </c>
      <c r="L242" s="35">
        <f t="shared" ca="1" si="29"/>
        <v>-5036.2244112831168</v>
      </c>
      <c r="M242" s="2"/>
    </row>
    <row r="243" spans="1:13" x14ac:dyDescent="0.25">
      <c r="A243" s="1">
        <f>IF(OR(A242="",F242=0,A242=Refinance_Calculator!$C$29),"",A242+1)</f>
        <v>238</v>
      </c>
      <c r="B243" s="3">
        <f t="shared" si="32"/>
        <v>8247.3569727252252</v>
      </c>
      <c r="C243" s="3">
        <f>IF(A243="","",(-PMT(Refinance_Calculator!$C$26/12,Refinance_Calculator!$C$29,Refinance_Calculator!$C$23,0,0)))</f>
        <v>89.932578772912834</v>
      </c>
      <c r="D243" s="3">
        <f t="shared" si="33"/>
        <v>41.236784863626148</v>
      </c>
      <c r="E243" s="3">
        <f>IF(A243="","",(-PPMT(Refinance_Calculator!$C$26/12,'Internal Working'!A243,Refinance_Calculator!$C$29,Refinance_Calculator!$C$23,0,0)))</f>
        <v>48.695793909286685</v>
      </c>
      <c r="F243" s="3">
        <f t="shared" si="34"/>
        <v>8198.6611788159389</v>
      </c>
      <c r="G243" s="5">
        <f t="shared" si="35"/>
        <v>48.695793909286685</v>
      </c>
      <c r="H243" s="36">
        <f t="shared" si="36"/>
        <v>41.236784863626148</v>
      </c>
      <c r="I243" s="37" t="str">
        <f ca="1">+IF(A243 &lt;= $L$2, (Full_Report!C323-'Internal Working'!C243),"")</f>
        <v/>
      </c>
      <c r="J243" s="37" t="str">
        <f t="shared" ca="1" si="30"/>
        <v>0</v>
      </c>
      <c r="K243" s="35">
        <f t="shared" ca="1" si="31"/>
        <v>-5126.1569900560298</v>
      </c>
      <c r="L243" s="35">
        <f t="shared" ca="1" si="29"/>
        <v>-5126.1569900560298</v>
      </c>
      <c r="M243" s="2"/>
    </row>
    <row r="244" spans="1:13" x14ac:dyDescent="0.25">
      <c r="A244" s="1">
        <f>IF(OR(A243="",F243=0,A243=Refinance_Calculator!$C$29),"",A243+1)</f>
        <v>239</v>
      </c>
      <c r="B244" s="3">
        <f t="shared" si="32"/>
        <v>8198.6611788159389</v>
      </c>
      <c r="C244" s="3">
        <f>IF(A244="","",(-PMT(Refinance_Calculator!$C$26/12,Refinance_Calculator!$C$29,Refinance_Calculator!$C$23,0,0)))</f>
        <v>89.932578772912834</v>
      </c>
      <c r="D244" s="3">
        <f t="shared" si="33"/>
        <v>40.993305894079725</v>
      </c>
      <c r="E244" s="3">
        <f>IF(A244="","",(-PPMT(Refinance_Calculator!$C$26/12,'Internal Working'!A244,Refinance_Calculator!$C$29,Refinance_Calculator!$C$23,0,0)))</f>
        <v>48.939272878833108</v>
      </c>
      <c r="F244" s="3">
        <f t="shared" si="34"/>
        <v>8149.7219059371055</v>
      </c>
      <c r="G244" s="5">
        <f t="shared" si="35"/>
        <v>48.939272878833108</v>
      </c>
      <c r="H244" s="36">
        <f t="shared" si="36"/>
        <v>40.993305894079725</v>
      </c>
      <c r="I244" s="37" t="str">
        <f ca="1">+IF(A244 &lt;= $L$2, (Full_Report!C324-'Internal Working'!C244),"")</f>
        <v/>
      </c>
      <c r="J244" s="37" t="str">
        <f t="shared" ca="1" si="30"/>
        <v>0</v>
      </c>
      <c r="K244" s="35">
        <f t="shared" ca="1" si="31"/>
        <v>-5216.0895688289429</v>
      </c>
      <c r="L244" s="35">
        <f t="shared" ca="1" si="29"/>
        <v>-5216.0895688289429</v>
      </c>
      <c r="M244" s="2"/>
    </row>
    <row r="245" spans="1:13" x14ac:dyDescent="0.25">
      <c r="A245" s="1">
        <f>IF(OR(A244="",F244=0,A244=Refinance_Calculator!$C$29),"",A244+1)</f>
        <v>240</v>
      </c>
      <c r="B245" s="3">
        <f t="shared" si="32"/>
        <v>8149.7219059371055</v>
      </c>
      <c r="C245" s="3">
        <f>IF(A245="","",(-PMT(Refinance_Calculator!$C$26/12,Refinance_Calculator!$C$29,Refinance_Calculator!$C$23,0,0)))</f>
        <v>89.932578772912834</v>
      </c>
      <c r="D245" s="3">
        <f t="shared" si="33"/>
        <v>40.748609529685559</v>
      </c>
      <c r="E245" s="3">
        <f>IF(A245="","",(-PPMT(Refinance_Calculator!$C$26/12,'Internal Working'!A245,Refinance_Calculator!$C$29,Refinance_Calculator!$C$23,0,0)))</f>
        <v>49.183969243227274</v>
      </c>
      <c r="F245" s="3">
        <f t="shared" si="34"/>
        <v>8100.5379366938778</v>
      </c>
      <c r="G245" s="5">
        <f t="shared" si="35"/>
        <v>49.183969243227274</v>
      </c>
      <c r="H245" s="36">
        <f t="shared" si="36"/>
        <v>40.748609529685559</v>
      </c>
      <c r="I245" s="37" t="str">
        <f ca="1">+IF(A245 &lt;= $L$2, (Full_Report!C325-'Internal Working'!C245),"")</f>
        <v/>
      </c>
      <c r="J245" s="37" t="str">
        <f t="shared" ca="1" si="30"/>
        <v>0</v>
      </c>
      <c r="K245" s="35">
        <f t="shared" ca="1" si="31"/>
        <v>-5306.022147601856</v>
      </c>
      <c r="L245" s="35">
        <f t="shared" ca="1" si="29"/>
        <v>-5306.022147601856</v>
      </c>
      <c r="M245" s="2"/>
    </row>
    <row r="246" spans="1:13" x14ac:dyDescent="0.25">
      <c r="A246" s="1">
        <f>IF(OR(A245="",F245=0,A245=Refinance_Calculator!$C$29),"",A245+1)</f>
        <v>241</v>
      </c>
      <c r="B246" s="3">
        <f t="shared" si="32"/>
        <v>8100.5379366938778</v>
      </c>
      <c r="C246" s="3">
        <f>IF(A246="","",(-PMT(Refinance_Calculator!$C$26/12,Refinance_Calculator!$C$29,Refinance_Calculator!$C$23,0,0)))</f>
        <v>89.932578772912834</v>
      </c>
      <c r="D246" s="3">
        <f t="shared" si="33"/>
        <v>40.50268968346942</v>
      </c>
      <c r="E246" s="3">
        <f>IF(A246="","",(-PPMT(Refinance_Calculator!$C$26/12,'Internal Working'!A246,Refinance_Calculator!$C$29,Refinance_Calculator!$C$23,0,0)))</f>
        <v>49.429889089443414</v>
      </c>
      <c r="F246" s="3">
        <f t="shared" si="34"/>
        <v>8051.1080476044344</v>
      </c>
      <c r="G246" s="5">
        <f t="shared" si="35"/>
        <v>49.429889089443414</v>
      </c>
      <c r="H246" s="36">
        <f t="shared" si="36"/>
        <v>40.50268968346942</v>
      </c>
      <c r="I246" s="37" t="str">
        <f ca="1">+IF(A246 &lt;= $L$2, (Full_Report!C326-'Internal Working'!C246),"")</f>
        <v/>
      </c>
      <c r="J246" s="37" t="str">
        <f t="shared" ca="1" si="30"/>
        <v>0</v>
      </c>
      <c r="K246" s="35">
        <f t="shared" ca="1" si="31"/>
        <v>-5395.9547263747691</v>
      </c>
      <c r="L246" s="35">
        <f t="shared" ca="1" si="29"/>
        <v>-5395.9547263747691</v>
      </c>
      <c r="M246" s="2"/>
    </row>
    <row r="247" spans="1:13" x14ac:dyDescent="0.25">
      <c r="A247" s="1">
        <f>IF(OR(A246="",F246=0,A246=Refinance_Calculator!$C$29),"",A246+1)</f>
        <v>242</v>
      </c>
      <c r="B247" s="3">
        <f t="shared" si="32"/>
        <v>8051.1080476044344</v>
      </c>
      <c r="C247" s="3">
        <f>IF(A247="","",(-PMT(Refinance_Calculator!$C$26/12,Refinance_Calculator!$C$29,Refinance_Calculator!$C$23,0,0)))</f>
        <v>89.932578772912834</v>
      </c>
      <c r="D247" s="3">
        <f t="shared" si="33"/>
        <v>40.255540238022199</v>
      </c>
      <c r="E247" s="3">
        <f>IF(A247="","",(-PPMT(Refinance_Calculator!$C$26/12,'Internal Working'!A247,Refinance_Calculator!$C$29,Refinance_Calculator!$C$23,0,0)))</f>
        <v>49.677038534890634</v>
      </c>
      <c r="F247" s="3">
        <f t="shared" si="34"/>
        <v>8001.4310090695435</v>
      </c>
      <c r="G247" s="5">
        <f t="shared" si="35"/>
        <v>49.677038534890634</v>
      </c>
      <c r="H247" s="36">
        <f t="shared" si="36"/>
        <v>40.255540238022199</v>
      </c>
      <c r="I247" s="37" t="str">
        <f ca="1">+IF(A247 &lt;= $L$2, (Full_Report!C327-'Internal Working'!C247),"")</f>
        <v/>
      </c>
      <c r="J247" s="37" t="str">
        <f t="shared" ca="1" si="30"/>
        <v>0</v>
      </c>
      <c r="K247" s="35">
        <f t="shared" ca="1" si="31"/>
        <v>-5485.8873051476821</v>
      </c>
      <c r="L247" s="35">
        <f t="shared" ca="1" si="29"/>
        <v>-5485.8873051476821</v>
      </c>
      <c r="M247" s="2"/>
    </row>
    <row r="248" spans="1:13" x14ac:dyDescent="0.25">
      <c r="A248" s="1">
        <f>IF(OR(A247="",F247=0,A247=Refinance_Calculator!$C$29),"",A247+1)</f>
        <v>243</v>
      </c>
      <c r="B248" s="3">
        <f t="shared" si="32"/>
        <v>8001.4310090695435</v>
      </c>
      <c r="C248" s="3">
        <f>IF(A248="","",(-PMT(Refinance_Calculator!$C$26/12,Refinance_Calculator!$C$29,Refinance_Calculator!$C$23,0,0)))</f>
        <v>89.932578772912834</v>
      </c>
      <c r="D248" s="3">
        <f t="shared" si="33"/>
        <v>40.007155045347737</v>
      </c>
      <c r="E248" s="3">
        <f>IF(A248="","",(-PPMT(Refinance_Calculator!$C$26/12,'Internal Working'!A248,Refinance_Calculator!$C$29,Refinance_Calculator!$C$23,0,0)))</f>
        <v>49.925423727565096</v>
      </c>
      <c r="F248" s="3">
        <f t="shared" si="34"/>
        <v>7951.5055853419781</v>
      </c>
      <c r="G248" s="5">
        <f t="shared" si="35"/>
        <v>49.925423727565096</v>
      </c>
      <c r="H248" s="36">
        <f t="shared" si="36"/>
        <v>40.007155045347737</v>
      </c>
      <c r="I248" s="37" t="str">
        <f ca="1">+IF(A248 &lt;= $L$2, (Full_Report!C328-'Internal Working'!C248),"")</f>
        <v/>
      </c>
      <c r="J248" s="37" t="str">
        <f t="shared" ca="1" si="30"/>
        <v>0</v>
      </c>
      <c r="K248" s="35">
        <f t="shared" ca="1" si="31"/>
        <v>-5575.8198839205952</v>
      </c>
      <c r="L248" s="35">
        <f t="shared" ca="1" si="29"/>
        <v>-5575.8198839205952</v>
      </c>
      <c r="M248" s="2"/>
    </row>
    <row r="249" spans="1:13" x14ac:dyDescent="0.25">
      <c r="A249" s="1">
        <f>IF(OR(A248="",F248=0,A248=Refinance_Calculator!$C$29),"",A248+1)</f>
        <v>244</v>
      </c>
      <c r="B249" s="3">
        <f t="shared" si="32"/>
        <v>7951.5055853419781</v>
      </c>
      <c r="C249" s="3">
        <f>IF(A249="","",(-PMT(Refinance_Calculator!$C$26/12,Refinance_Calculator!$C$29,Refinance_Calculator!$C$23,0,0)))</f>
        <v>89.932578772912834</v>
      </c>
      <c r="D249" s="3">
        <f t="shared" si="33"/>
        <v>39.757527926709919</v>
      </c>
      <c r="E249" s="3">
        <f>IF(A249="","",(-PPMT(Refinance_Calculator!$C$26/12,'Internal Working'!A249,Refinance_Calculator!$C$29,Refinance_Calculator!$C$23,0,0)))</f>
        <v>50.175050846202915</v>
      </c>
      <c r="F249" s="3">
        <f t="shared" si="34"/>
        <v>7901.3305344957753</v>
      </c>
      <c r="G249" s="5">
        <f t="shared" si="35"/>
        <v>50.175050846202915</v>
      </c>
      <c r="H249" s="36">
        <f t="shared" si="36"/>
        <v>39.757527926709919</v>
      </c>
      <c r="I249" s="37" t="str">
        <f ca="1">+IF(A249 &lt;= $L$2, (Full_Report!C329-'Internal Working'!C249),"")</f>
        <v/>
      </c>
      <c r="J249" s="37" t="str">
        <f t="shared" ca="1" si="30"/>
        <v>0</v>
      </c>
      <c r="K249" s="35">
        <f t="shared" ca="1" si="31"/>
        <v>-5665.7524626935083</v>
      </c>
      <c r="L249" s="35">
        <f t="shared" ca="1" si="29"/>
        <v>-5665.7524626935083</v>
      </c>
      <c r="M249" s="2"/>
    </row>
    <row r="250" spans="1:13" x14ac:dyDescent="0.25">
      <c r="A250" s="1">
        <f>IF(OR(A249="",F249=0,A249=Refinance_Calculator!$C$29),"",A249+1)</f>
        <v>245</v>
      </c>
      <c r="B250" s="3">
        <f t="shared" si="32"/>
        <v>7901.3305344957753</v>
      </c>
      <c r="C250" s="3">
        <f>IF(A250="","",(-PMT(Refinance_Calculator!$C$26/12,Refinance_Calculator!$C$29,Refinance_Calculator!$C$23,0,0)))</f>
        <v>89.932578772912834</v>
      </c>
      <c r="D250" s="3">
        <f t="shared" si="33"/>
        <v>39.506652672478907</v>
      </c>
      <c r="E250" s="3">
        <f>IF(A250="","",(-PPMT(Refinance_Calculator!$C$26/12,'Internal Working'!A250,Refinance_Calculator!$C$29,Refinance_Calculator!$C$23,0,0)))</f>
        <v>50.425926100433927</v>
      </c>
      <c r="F250" s="3">
        <f t="shared" si="34"/>
        <v>7850.9046083953417</v>
      </c>
      <c r="G250" s="5">
        <f t="shared" si="35"/>
        <v>50.425926100433927</v>
      </c>
      <c r="H250" s="36">
        <f t="shared" si="36"/>
        <v>39.506652672478907</v>
      </c>
      <c r="I250" s="37" t="str">
        <f ca="1">+IF(A250 &lt;= $L$2, (Full_Report!C330-'Internal Working'!C250),"")</f>
        <v/>
      </c>
      <c r="J250" s="37" t="str">
        <f t="shared" ca="1" si="30"/>
        <v>0</v>
      </c>
      <c r="K250" s="35">
        <f t="shared" ca="1" si="31"/>
        <v>-5755.6850414664214</v>
      </c>
      <c r="L250" s="35">
        <f t="shared" ca="1" si="29"/>
        <v>-5755.6850414664214</v>
      </c>
      <c r="M250" s="2"/>
    </row>
    <row r="251" spans="1:13" x14ac:dyDescent="0.25">
      <c r="A251" s="1">
        <f>IF(OR(A250="",F250=0,A250=Refinance_Calculator!$C$29),"",A250+1)</f>
        <v>246</v>
      </c>
      <c r="B251" s="3">
        <f t="shared" si="32"/>
        <v>7850.9046083953417</v>
      </c>
      <c r="C251" s="3">
        <f>IF(A251="","",(-PMT(Refinance_Calculator!$C$26/12,Refinance_Calculator!$C$29,Refinance_Calculator!$C$23,0,0)))</f>
        <v>89.932578772912834</v>
      </c>
      <c r="D251" s="3">
        <f t="shared" si="33"/>
        <v>39.254523041976739</v>
      </c>
      <c r="E251" s="3">
        <f>IF(A251="","",(-PPMT(Refinance_Calculator!$C$26/12,'Internal Working'!A251,Refinance_Calculator!$C$29,Refinance_Calculator!$C$23,0,0)))</f>
        <v>50.678055730936094</v>
      </c>
      <c r="F251" s="3">
        <f t="shared" si="34"/>
        <v>7800.226552664406</v>
      </c>
      <c r="G251" s="5">
        <f t="shared" si="35"/>
        <v>50.678055730936094</v>
      </c>
      <c r="H251" s="36">
        <f t="shared" si="36"/>
        <v>39.254523041976739</v>
      </c>
      <c r="I251" s="37" t="str">
        <f ca="1">+IF(A251 &lt;= $L$2, (Full_Report!C331-'Internal Working'!C251),"")</f>
        <v/>
      </c>
      <c r="J251" s="37" t="str">
        <f t="shared" ca="1" si="30"/>
        <v>0</v>
      </c>
      <c r="K251" s="35">
        <f t="shared" ca="1" si="31"/>
        <v>-5845.6176202393344</v>
      </c>
      <c r="L251" s="35">
        <f t="shared" ca="1" si="29"/>
        <v>-5845.6176202393344</v>
      </c>
      <c r="M251" s="2"/>
    </row>
    <row r="252" spans="1:13" x14ac:dyDescent="0.25">
      <c r="A252" s="1">
        <f>IF(OR(A251="",F251=0,A251=Refinance_Calculator!$C$29),"",A251+1)</f>
        <v>247</v>
      </c>
      <c r="B252" s="3">
        <f t="shared" si="32"/>
        <v>7800.226552664406</v>
      </c>
      <c r="C252" s="3">
        <f>IF(A252="","",(-PMT(Refinance_Calculator!$C$26/12,Refinance_Calculator!$C$29,Refinance_Calculator!$C$23,0,0)))</f>
        <v>89.932578772912834</v>
      </c>
      <c r="D252" s="3">
        <f t="shared" si="33"/>
        <v>39.001132763322047</v>
      </c>
      <c r="E252" s="3">
        <f>IF(A252="","",(-PPMT(Refinance_Calculator!$C$26/12,'Internal Working'!A252,Refinance_Calculator!$C$29,Refinance_Calculator!$C$23,0,0)))</f>
        <v>50.931446009590786</v>
      </c>
      <c r="F252" s="3">
        <f t="shared" si="34"/>
        <v>7749.2951066548148</v>
      </c>
      <c r="G252" s="5">
        <f t="shared" si="35"/>
        <v>50.931446009590786</v>
      </c>
      <c r="H252" s="36">
        <f t="shared" si="36"/>
        <v>39.001132763322047</v>
      </c>
      <c r="I252" s="37" t="str">
        <f ca="1">+IF(A252 &lt;= $L$2, (Full_Report!C332-'Internal Working'!C252),"")</f>
        <v/>
      </c>
      <c r="J252" s="37" t="str">
        <f t="shared" ca="1" si="30"/>
        <v>0</v>
      </c>
      <c r="K252" s="35">
        <f t="shared" ca="1" si="31"/>
        <v>-5935.5501990122475</v>
      </c>
      <c r="L252" s="35">
        <f t="shared" ca="1" si="29"/>
        <v>-5935.5501990122475</v>
      </c>
      <c r="M252" s="2"/>
    </row>
    <row r="253" spans="1:13" x14ac:dyDescent="0.25">
      <c r="A253" s="1">
        <f>IF(OR(A252="",F252=0,A252=Refinance_Calculator!$C$29),"",A252+1)</f>
        <v>248</v>
      </c>
      <c r="B253" s="3">
        <f t="shared" si="32"/>
        <v>7749.2951066548148</v>
      </c>
      <c r="C253" s="3">
        <f>IF(A253="","",(-PMT(Refinance_Calculator!$C$26/12,Refinance_Calculator!$C$29,Refinance_Calculator!$C$23,0,0)))</f>
        <v>89.932578772912834</v>
      </c>
      <c r="D253" s="3">
        <f t="shared" si="33"/>
        <v>38.746475533274094</v>
      </c>
      <c r="E253" s="3">
        <f>IF(A253="","",(-PPMT(Refinance_Calculator!$C$26/12,'Internal Working'!A253,Refinance_Calculator!$C$29,Refinance_Calculator!$C$23,0,0)))</f>
        <v>51.18610323963874</v>
      </c>
      <c r="F253" s="3">
        <f t="shared" si="34"/>
        <v>7698.1090034151757</v>
      </c>
      <c r="G253" s="5">
        <f t="shared" si="35"/>
        <v>51.18610323963874</v>
      </c>
      <c r="H253" s="36">
        <f t="shared" si="36"/>
        <v>38.746475533274094</v>
      </c>
      <c r="I253" s="37" t="str">
        <f ca="1">+IF(A253 &lt;= $L$2, (Full_Report!C333-'Internal Working'!C253),"")</f>
        <v/>
      </c>
      <c r="J253" s="37" t="str">
        <f t="shared" ca="1" si="30"/>
        <v>0</v>
      </c>
      <c r="K253" s="35">
        <f t="shared" ca="1" si="31"/>
        <v>-6025.4827777851606</v>
      </c>
      <c r="L253" s="35">
        <f t="shared" ca="1" si="29"/>
        <v>-6025.4827777851606</v>
      </c>
      <c r="M253" s="2"/>
    </row>
    <row r="254" spans="1:13" x14ac:dyDescent="0.25">
      <c r="A254" s="1">
        <f>IF(OR(A253="",F253=0,A253=Refinance_Calculator!$C$29),"",A253+1)</f>
        <v>249</v>
      </c>
      <c r="B254" s="3">
        <f t="shared" si="32"/>
        <v>7698.1090034151757</v>
      </c>
      <c r="C254" s="3">
        <f>IF(A254="","",(-PMT(Refinance_Calculator!$C$26/12,Refinance_Calculator!$C$29,Refinance_Calculator!$C$23,0,0)))</f>
        <v>89.932578772912834</v>
      </c>
      <c r="D254" s="3">
        <f t="shared" si="33"/>
        <v>38.490545017075902</v>
      </c>
      <c r="E254" s="3">
        <f>IF(A254="","",(-PPMT(Refinance_Calculator!$C$26/12,'Internal Working'!A254,Refinance_Calculator!$C$29,Refinance_Calculator!$C$23,0,0)))</f>
        <v>51.442033755836931</v>
      </c>
      <c r="F254" s="3">
        <f t="shared" si="34"/>
        <v>7646.666969659339</v>
      </c>
      <c r="G254" s="5">
        <f t="shared" si="35"/>
        <v>51.442033755836931</v>
      </c>
      <c r="H254" s="36">
        <f t="shared" si="36"/>
        <v>38.490545017075902</v>
      </c>
      <c r="I254" s="37" t="str">
        <f ca="1">+IF(A254 &lt;= $L$2, (Full_Report!C334-'Internal Working'!C254),"")</f>
        <v/>
      </c>
      <c r="J254" s="37" t="str">
        <f t="shared" ca="1" si="30"/>
        <v>0</v>
      </c>
      <c r="K254" s="35">
        <f t="shared" ca="1" si="31"/>
        <v>-6115.4153565580737</v>
      </c>
      <c r="L254" s="35">
        <f t="shared" ca="1" si="29"/>
        <v>-6115.4153565580737</v>
      </c>
      <c r="M254" s="2"/>
    </row>
    <row r="255" spans="1:13" x14ac:dyDescent="0.25">
      <c r="A255" s="1">
        <f>IF(OR(A254="",F254=0,A254=Refinance_Calculator!$C$29),"",A254+1)</f>
        <v>250</v>
      </c>
      <c r="B255" s="3">
        <f t="shared" si="32"/>
        <v>7646.666969659339</v>
      </c>
      <c r="C255" s="3">
        <f>IF(A255="","",(-PMT(Refinance_Calculator!$C$26/12,Refinance_Calculator!$C$29,Refinance_Calculator!$C$23,0,0)))</f>
        <v>89.932578772912834</v>
      </c>
      <c r="D255" s="3">
        <f t="shared" si="33"/>
        <v>38.233334848296721</v>
      </c>
      <c r="E255" s="3">
        <f>IF(A255="","",(-PPMT(Refinance_Calculator!$C$26/12,'Internal Working'!A255,Refinance_Calculator!$C$29,Refinance_Calculator!$C$23,0,0)))</f>
        <v>51.699243924616113</v>
      </c>
      <c r="F255" s="3">
        <f t="shared" si="34"/>
        <v>7594.967725734723</v>
      </c>
      <c r="G255" s="5">
        <f t="shared" si="35"/>
        <v>51.699243924616113</v>
      </c>
      <c r="H255" s="36">
        <f t="shared" si="36"/>
        <v>38.233334848296721</v>
      </c>
      <c r="I255" s="37" t="str">
        <f ca="1">+IF(A255 &lt;= $L$2, (Full_Report!C335-'Internal Working'!C255),"")</f>
        <v/>
      </c>
      <c r="J255" s="37" t="str">
        <f t="shared" ca="1" si="30"/>
        <v>0</v>
      </c>
      <c r="K255" s="35">
        <f t="shared" ca="1" si="31"/>
        <v>-6205.3479353309867</v>
      </c>
      <c r="L255" s="35">
        <f t="shared" ca="1" si="29"/>
        <v>-6205.3479353309867</v>
      </c>
      <c r="M255" s="2"/>
    </row>
    <row r="256" spans="1:13" x14ac:dyDescent="0.25">
      <c r="A256" s="1">
        <f>IF(OR(A255="",F255=0,A255=Refinance_Calculator!$C$29),"",A255+1)</f>
        <v>251</v>
      </c>
      <c r="B256" s="3">
        <f t="shared" si="32"/>
        <v>7594.967725734723</v>
      </c>
      <c r="C256" s="3">
        <f>IF(A256="","",(-PMT(Refinance_Calculator!$C$26/12,Refinance_Calculator!$C$29,Refinance_Calculator!$C$23,0,0)))</f>
        <v>89.932578772912834</v>
      </c>
      <c r="D256" s="3">
        <f t="shared" si="33"/>
        <v>37.974838628673645</v>
      </c>
      <c r="E256" s="3">
        <f>IF(A256="","",(-PPMT(Refinance_Calculator!$C$26/12,'Internal Working'!A256,Refinance_Calculator!$C$29,Refinance_Calculator!$C$23,0,0)))</f>
        <v>51.957740144239189</v>
      </c>
      <c r="F256" s="3">
        <f t="shared" si="34"/>
        <v>7543.0099855904837</v>
      </c>
      <c r="G256" s="5">
        <f t="shared" si="35"/>
        <v>51.957740144239189</v>
      </c>
      <c r="H256" s="36">
        <f t="shared" si="36"/>
        <v>37.974838628673645</v>
      </c>
      <c r="I256" s="37" t="str">
        <f ca="1">+IF(A256 &lt;= $L$2, (Full_Report!C336-'Internal Working'!C256),"")</f>
        <v/>
      </c>
      <c r="J256" s="37" t="str">
        <f t="shared" ca="1" si="30"/>
        <v>0</v>
      </c>
      <c r="K256" s="35">
        <f t="shared" ca="1" si="31"/>
        <v>-6295.2805141038998</v>
      </c>
      <c r="L256" s="35">
        <f t="shared" ca="1" si="29"/>
        <v>-6295.2805141038998</v>
      </c>
      <c r="M256" s="2"/>
    </row>
    <row r="257" spans="1:13" x14ac:dyDescent="0.25">
      <c r="A257" s="1">
        <f>IF(OR(A256="",F256=0,A256=Refinance_Calculator!$C$29),"",A256+1)</f>
        <v>252</v>
      </c>
      <c r="B257" s="3">
        <f t="shared" si="32"/>
        <v>7543.0099855904837</v>
      </c>
      <c r="C257" s="3">
        <f>IF(A257="","",(-PMT(Refinance_Calculator!$C$26/12,Refinance_Calculator!$C$29,Refinance_Calculator!$C$23,0,0)))</f>
        <v>89.932578772912834</v>
      </c>
      <c r="D257" s="3">
        <f t="shared" si="33"/>
        <v>37.71504992795245</v>
      </c>
      <c r="E257" s="3">
        <f>IF(A257="","",(-PPMT(Refinance_Calculator!$C$26/12,'Internal Working'!A257,Refinance_Calculator!$C$29,Refinance_Calculator!$C$23,0,0)))</f>
        <v>52.217528844960384</v>
      </c>
      <c r="F257" s="3">
        <f t="shared" si="34"/>
        <v>7490.7924567455229</v>
      </c>
      <c r="G257" s="5">
        <f t="shared" si="35"/>
        <v>52.217528844960384</v>
      </c>
      <c r="H257" s="36">
        <f t="shared" si="36"/>
        <v>37.71504992795245</v>
      </c>
      <c r="I257" s="37" t="str">
        <f ca="1">+IF(A257 &lt;= $L$2, (Full_Report!C337-'Internal Working'!C257),"")</f>
        <v/>
      </c>
      <c r="J257" s="37" t="str">
        <f t="shared" ca="1" si="30"/>
        <v>0</v>
      </c>
      <c r="K257" s="35">
        <f t="shared" ca="1" si="31"/>
        <v>-6385.2130928768129</v>
      </c>
      <c r="L257" s="35">
        <f t="shared" ca="1" si="29"/>
        <v>-6385.2130928768129</v>
      </c>
      <c r="M257" s="2"/>
    </row>
    <row r="258" spans="1:13" x14ac:dyDescent="0.25">
      <c r="A258" s="1">
        <f>IF(OR(A257="",F257=0,A257=Refinance_Calculator!$C$29),"",A257+1)</f>
        <v>253</v>
      </c>
      <c r="B258" s="3">
        <f t="shared" si="32"/>
        <v>7490.7924567455229</v>
      </c>
      <c r="C258" s="3">
        <f>IF(A258="","",(-PMT(Refinance_Calculator!$C$26/12,Refinance_Calculator!$C$29,Refinance_Calculator!$C$23,0,0)))</f>
        <v>89.932578772912834</v>
      </c>
      <c r="D258" s="3">
        <f t="shared" si="33"/>
        <v>37.453962283727648</v>
      </c>
      <c r="E258" s="3">
        <f>IF(A258="","",(-PPMT(Refinance_Calculator!$C$26/12,'Internal Working'!A258,Refinance_Calculator!$C$29,Refinance_Calculator!$C$23,0,0)))</f>
        <v>52.478616489185185</v>
      </c>
      <c r="F258" s="3">
        <f t="shared" si="34"/>
        <v>7438.3138402563382</v>
      </c>
      <c r="G258" s="5">
        <f t="shared" si="35"/>
        <v>52.478616489185185</v>
      </c>
      <c r="H258" s="36">
        <f t="shared" si="36"/>
        <v>37.453962283727648</v>
      </c>
      <c r="I258" s="37" t="str">
        <f ca="1">+IF(A258 &lt;= $L$2, (Full_Report!C338-'Internal Working'!C258),"")</f>
        <v/>
      </c>
      <c r="J258" s="37" t="str">
        <f t="shared" ca="1" si="30"/>
        <v>0</v>
      </c>
      <c r="K258" s="35">
        <f t="shared" ca="1" si="31"/>
        <v>-6475.145671649726</v>
      </c>
      <c r="L258" s="35">
        <f t="shared" ca="1" si="29"/>
        <v>-6475.145671649726</v>
      </c>
      <c r="M258" s="2"/>
    </row>
    <row r="259" spans="1:13" x14ac:dyDescent="0.25">
      <c r="A259" s="1">
        <f>IF(OR(A258="",F258=0,A258=Refinance_Calculator!$C$29),"",A258+1)</f>
        <v>254</v>
      </c>
      <c r="B259" s="3">
        <f t="shared" si="32"/>
        <v>7438.3138402563382</v>
      </c>
      <c r="C259" s="3">
        <f>IF(A259="","",(-PMT(Refinance_Calculator!$C$26/12,Refinance_Calculator!$C$29,Refinance_Calculator!$C$23,0,0)))</f>
        <v>89.932578772912834</v>
      </c>
      <c r="D259" s="3">
        <f t="shared" si="33"/>
        <v>37.191569201281723</v>
      </c>
      <c r="E259" s="3">
        <f>IF(A259="","",(-PPMT(Refinance_Calculator!$C$26/12,'Internal Working'!A259,Refinance_Calculator!$C$29,Refinance_Calculator!$C$23,0,0)))</f>
        <v>52.74100957163111</v>
      </c>
      <c r="F259" s="3">
        <f t="shared" si="34"/>
        <v>7385.5728306847068</v>
      </c>
      <c r="G259" s="5">
        <f t="shared" si="35"/>
        <v>52.74100957163111</v>
      </c>
      <c r="H259" s="36">
        <f t="shared" si="36"/>
        <v>37.191569201281723</v>
      </c>
      <c r="I259" s="37" t="str">
        <f ca="1">+IF(A259 &lt;= $L$2, (Full_Report!C339-'Internal Working'!C259),"")</f>
        <v/>
      </c>
      <c r="J259" s="37" t="str">
        <f t="shared" ca="1" si="30"/>
        <v>0</v>
      </c>
      <c r="K259" s="35">
        <f t="shared" ca="1" si="31"/>
        <v>-6565.078250422639</v>
      </c>
      <c r="L259" s="35">
        <f t="shared" ca="1" si="29"/>
        <v>-6565.078250422639</v>
      </c>
      <c r="M259" s="2"/>
    </row>
    <row r="260" spans="1:13" x14ac:dyDescent="0.25">
      <c r="A260" s="1">
        <f>IF(OR(A259="",F259=0,A259=Refinance_Calculator!$C$29),"",A259+1)</f>
        <v>255</v>
      </c>
      <c r="B260" s="3">
        <f t="shared" si="32"/>
        <v>7385.5728306847068</v>
      </c>
      <c r="C260" s="3">
        <f>IF(A260="","",(-PMT(Refinance_Calculator!$C$26/12,Refinance_Calculator!$C$29,Refinance_Calculator!$C$23,0,0)))</f>
        <v>89.932578772912834</v>
      </c>
      <c r="D260" s="3">
        <f t="shared" si="33"/>
        <v>36.927864153423563</v>
      </c>
      <c r="E260" s="3">
        <f>IF(A260="","",(-PPMT(Refinance_Calculator!$C$26/12,'Internal Working'!A260,Refinance_Calculator!$C$29,Refinance_Calculator!$C$23,0,0)))</f>
        <v>53.00471461948927</v>
      </c>
      <c r="F260" s="3">
        <f t="shared" si="34"/>
        <v>7332.5681160652175</v>
      </c>
      <c r="G260" s="5">
        <f t="shared" si="35"/>
        <v>53.00471461948927</v>
      </c>
      <c r="H260" s="36">
        <f t="shared" si="36"/>
        <v>36.927864153423563</v>
      </c>
      <c r="I260" s="37" t="str">
        <f ca="1">+IF(A260 &lt;= $L$2, (Full_Report!C340-'Internal Working'!C260),"")</f>
        <v/>
      </c>
      <c r="J260" s="37" t="str">
        <f t="shared" ca="1" si="30"/>
        <v>0</v>
      </c>
      <c r="K260" s="35">
        <f t="shared" ca="1" si="31"/>
        <v>-6655.0108291955521</v>
      </c>
      <c r="L260" s="35">
        <f t="shared" ca="1" si="29"/>
        <v>-6655.0108291955521</v>
      </c>
      <c r="M260" s="2"/>
    </row>
    <row r="261" spans="1:13" x14ac:dyDescent="0.25">
      <c r="A261" s="1">
        <f>IF(OR(A260="",F260=0,A260=Refinance_Calculator!$C$29),"",A260+1)</f>
        <v>256</v>
      </c>
      <c r="B261" s="3">
        <f t="shared" si="32"/>
        <v>7332.5681160652175</v>
      </c>
      <c r="C261" s="3">
        <f>IF(A261="","",(-PMT(Refinance_Calculator!$C$26/12,Refinance_Calculator!$C$29,Refinance_Calculator!$C$23,0,0)))</f>
        <v>89.932578772912834</v>
      </c>
      <c r="D261" s="3">
        <f t="shared" si="33"/>
        <v>36.662840580326119</v>
      </c>
      <c r="E261" s="3">
        <f>IF(A261="","",(-PPMT(Refinance_Calculator!$C$26/12,'Internal Working'!A261,Refinance_Calculator!$C$29,Refinance_Calculator!$C$23,0,0)))</f>
        <v>53.269738192586715</v>
      </c>
      <c r="F261" s="3">
        <f t="shared" si="34"/>
        <v>7279.2983778726311</v>
      </c>
      <c r="G261" s="5">
        <f t="shared" si="35"/>
        <v>53.269738192586715</v>
      </c>
      <c r="H261" s="36">
        <f t="shared" si="36"/>
        <v>36.662840580326119</v>
      </c>
      <c r="I261" s="37" t="str">
        <f ca="1">+IF(A261 &lt;= $L$2, (Full_Report!C341-'Internal Working'!C261),"")</f>
        <v/>
      </c>
      <c r="J261" s="37" t="str">
        <f t="shared" ca="1" si="30"/>
        <v>0</v>
      </c>
      <c r="K261" s="35">
        <f t="shared" ca="1" si="31"/>
        <v>-6744.9434079684652</v>
      </c>
      <c r="L261" s="35">
        <f t="shared" ca="1" si="29"/>
        <v>-6744.9434079684652</v>
      </c>
      <c r="M261" s="2"/>
    </row>
    <row r="262" spans="1:13" x14ac:dyDescent="0.25">
      <c r="A262" s="1">
        <f>IF(OR(A261="",F261=0,A261=Refinance_Calculator!$C$29),"",A261+1)</f>
        <v>257</v>
      </c>
      <c r="B262" s="3">
        <f t="shared" si="32"/>
        <v>7279.2983778726311</v>
      </c>
      <c r="C262" s="3">
        <f>IF(A262="","",(-PMT(Refinance_Calculator!$C$26/12,Refinance_Calculator!$C$29,Refinance_Calculator!$C$23,0,0)))</f>
        <v>89.932578772912834</v>
      </c>
      <c r="D262" s="3">
        <f t="shared" si="33"/>
        <v>36.396491889363183</v>
      </c>
      <c r="E262" s="3">
        <f>IF(A262="","",(-PPMT(Refinance_Calculator!$C$26/12,'Internal Working'!A262,Refinance_Calculator!$C$29,Refinance_Calculator!$C$23,0,0)))</f>
        <v>53.53608688354965</v>
      </c>
      <c r="F262" s="3">
        <f t="shared" si="34"/>
        <v>7225.7622909890815</v>
      </c>
      <c r="G262" s="5">
        <f t="shared" si="35"/>
        <v>53.53608688354965</v>
      </c>
      <c r="H262" s="36">
        <f t="shared" si="36"/>
        <v>36.396491889363183</v>
      </c>
      <c r="I262" s="37" t="str">
        <f ca="1">+IF(A262 &lt;= $L$2, (Full_Report!C342-'Internal Working'!C262),"")</f>
        <v/>
      </c>
      <c r="J262" s="37" t="str">
        <f t="shared" ca="1" si="30"/>
        <v>0</v>
      </c>
      <c r="K262" s="35">
        <f t="shared" ca="1" si="31"/>
        <v>-6834.8759867413783</v>
      </c>
      <c r="L262" s="35">
        <f t="shared" ca="1" si="29"/>
        <v>-6834.8759867413783</v>
      </c>
      <c r="M262" s="2"/>
    </row>
    <row r="263" spans="1:13" x14ac:dyDescent="0.25">
      <c r="A263" s="1">
        <f>IF(OR(A262="",F262=0,A262=Refinance_Calculator!$C$29),"",A262+1)</f>
        <v>258</v>
      </c>
      <c r="B263" s="3">
        <f t="shared" si="32"/>
        <v>7225.7622909890815</v>
      </c>
      <c r="C263" s="3">
        <f>IF(A263="","",(-PMT(Refinance_Calculator!$C$26/12,Refinance_Calculator!$C$29,Refinance_Calculator!$C$23,0,0)))</f>
        <v>89.932578772912834</v>
      </c>
      <c r="D263" s="3">
        <f t="shared" si="33"/>
        <v>36.128811454945428</v>
      </c>
      <c r="E263" s="3">
        <f>IF(A263="","",(-PPMT(Refinance_Calculator!$C$26/12,'Internal Working'!A263,Refinance_Calculator!$C$29,Refinance_Calculator!$C$23,0,0)))</f>
        <v>53.803767317967406</v>
      </c>
      <c r="F263" s="3">
        <f t="shared" si="34"/>
        <v>7171.9585236711146</v>
      </c>
      <c r="G263" s="5">
        <f t="shared" si="35"/>
        <v>53.803767317967406</v>
      </c>
      <c r="H263" s="36">
        <f t="shared" si="36"/>
        <v>36.128811454945428</v>
      </c>
      <c r="I263" s="37" t="str">
        <f ca="1">+IF(A263 &lt;= $L$2, (Full_Report!C343-'Internal Working'!C263),"")</f>
        <v/>
      </c>
      <c r="J263" s="37" t="str">
        <f t="shared" ca="1" si="30"/>
        <v>0</v>
      </c>
      <c r="K263" s="35">
        <f t="shared" ca="1" si="31"/>
        <v>-6924.8085655142913</v>
      </c>
      <c r="L263" s="35">
        <f t="shared" ref="L263:L326" ca="1" si="37">+IF(A263 = "","",(J263+K263))</f>
        <v>-6924.8085655142913</v>
      </c>
      <c r="M263" s="2"/>
    </row>
    <row r="264" spans="1:13" x14ac:dyDescent="0.25">
      <c r="A264" s="1">
        <f>IF(OR(A263="",F263=0,A263=Refinance_Calculator!$C$29),"",A263+1)</f>
        <v>259</v>
      </c>
      <c r="B264" s="3">
        <f t="shared" si="32"/>
        <v>7171.9585236711146</v>
      </c>
      <c r="C264" s="3">
        <f>IF(A264="","",(-PMT(Refinance_Calculator!$C$26/12,Refinance_Calculator!$C$29,Refinance_Calculator!$C$23,0,0)))</f>
        <v>89.932578772912834</v>
      </c>
      <c r="D264" s="3">
        <f t="shared" si="33"/>
        <v>35.859792618355591</v>
      </c>
      <c r="E264" s="3">
        <f>IF(A264="","",(-PPMT(Refinance_Calculator!$C$26/12,'Internal Working'!A264,Refinance_Calculator!$C$29,Refinance_Calculator!$C$23,0,0)))</f>
        <v>54.072786154557242</v>
      </c>
      <c r="F264" s="3">
        <f t="shared" si="34"/>
        <v>7117.8857375165571</v>
      </c>
      <c r="G264" s="5">
        <f t="shared" si="35"/>
        <v>54.072786154557242</v>
      </c>
      <c r="H264" s="36">
        <f t="shared" si="36"/>
        <v>35.859792618355591</v>
      </c>
      <c r="I264" s="37" t="str">
        <f ca="1">+IF(A264 &lt;= $L$2, (Full_Report!C344-'Internal Working'!C264),"")</f>
        <v/>
      </c>
      <c r="J264" s="37" t="str">
        <f t="shared" ref="J264:J327" ca="1" si="38">IF(I264="","0",(I264+J263))</f>
        <v>0</v>
      </c>
      <c r="K264" s="35">
        <f t="shared" ref="K264:K327" ca="1" si="39">+IF(A264="","0",IF(A264&gt;$L$2,(K263-C264),"0"))</f>
        <v>-7014.7411442872044</v>
      </c>
      <c r="L264" s="35">
        <f t="shared" ca="1" si="37"/>
        <v>-7014.7411442872044</v>
      </c>
      <c r="M264" s="2"/>
    </row>
    <row r="265" spans="1:13" x14ac:dyDescent="0.25">
      <c r="A265" s="1">
        <f>IF(OR(A264="",F264=0,A264=Refinance_Calculator!$C$29),"",A264+1)</f>
        <v>260</v>
      </c>
      <c r="B265" s="3">
        <f t="shared" si="32"/>
        <v>7117.8857375165571</v>
      </c>
      <c r="C265" s="3">
        <f>IF(A265="","",(-PMT(Refinance_Calculator!$C$26/12,Refinance_Calculator!$C$29,Refinance_Calculator!$C$23,0,0)))</f>
        <v>89.932578772912834</v>
      </c>
      <c r="D265" s="3">
        <f t="shared" si="33"/>
        <v>35.58942868758281</v>
      </c>
      <c r="E265" s="3">
        <f>IF(A265="","",(-PPMT(Refinance_Calculator!$C$26/12,'Internal Working'!A265,Refinance_Calculator!$C$29,Refinance_Calculator!$C$23,0,0)))</f>
        <v>54.343150085330024</v>
      </c>
      <c r="F265" s="3">
        <f t="shared" si="34"/>
        <v>7063.5425874312268</v>
      </c>
      <c r="G265" s="5">
        <f t="shared" si="35"/>
        <v>54.343150085330024</v>
      </c>
      <c r="H265" s="36">
        <f t="shared" si="36"/>
        <v>35.58942868758281</v>
      </c>
      <c r="I265" s="37" t="str">
        <f ca="1">+IF(A265 &lt;= $L$2, (Full_Report!C345-'Internal Working'!C265),"")</f>
        <v/>
      </c>
      <c r="J265" s="37" t="str">
        <f t="shared" ca="1" si="38"/>
        <v>0</v>
      </c>
      <c r="K265" s="35">
        <f t="shared" ca="1" si="39"/>
        <v>-7104.6737230601175</v>
      </c>
      <c r="L265" s="35">
        <f t="shared" ca="1" si="37"/>
        <v>-7104.6737230601175</v>
      </c>
      <c r="M265" s="2"/>
    </row>
    <row r="266" spans="1:13" x14ac:dyDescent="0.25">
      <c r="A266" s="1">
        <f>IF(OR(A265="",F265=0,A265=Refinance_Calculator!$C$29),"",A265+1)</f>
        <v>261</v>
      </c>
      <c r="B266" s="3">
        <f t="shared" si="32"/>
        <v>7063.5425874312268</v>
      </c>
      <c r="C266" s="3">
        <f>IF(A266="","",(-PMT(Refinance_Calculator!$C$26/12,Refinance_Calculator!$C$29,Refinance_Calculator!$C$23,0,0)))</f>
        <v>89.932578772912834</v>
      </c>
      <c r="D266" s="3">
        <f t="shared" si="33"/>
        <v>35.317712937156159</v>
      </c>
      <c r="E266" s="3">
        <f>IF(A266="","",(-PPMT(Refinance_Calculator!$C$26/12,'Internal Working'!A266,Refinance_Calculator!$C$29,Refinance_Calculator!$C$23,0,0)))</f>
        <v>54.614865835756675</v>
      </c>
      <c r="F266" s="3">
        <f t="shared" si="34"/>
        <v>7008.9277215954698</v>
      </c>
      <c r="G266" s="5">
        <f t="shared" si="35"/>
        <v>54.614865835756675</v>
      </c>
      <c r="H266" s="36">
        <f t="shared" si="36"/>
        <v>35.317712937156159</v>
      </c>
      <c r="I266" s="37" t="str">
        <f ca="1">+IF(A266 &lt;= $L$2, (Full_Report!C346-'Internal Working'!C266),"")</f>
        <v/>
      </c>
      <c r="J266" s="37" t="str">
        <f t="shared" ca="1" si="38"/>
        <v>0</v>
      </c>
      <c r="K266" s="35">
        <f t="shared" ca="1" si="39"/>
        <v>-7194.6063018330306</v>
      </c>
      <c r="L266" s="35">
        <f t="shared" ca="1" si="37"/>
        <v>-7194.6063018330306</v>
      </c>
      <c r="M266" s="2"/>
    </row>
    <row r="267" spans="1:13" x14ac:dyDescent="0.25">
      <c r="A267" s="1">
        <f>IF(OR(A266="",F266=0,A266=Refinance_Calculator!$C$29),"",A266+1)</f>
        <v>262</v>
      </c>
      <c r="B267" s="3">
        <f t="shared" si="32"/>
        <v>7008.9277215954698</v>
      </c>
      <c r="C267" s="3">
        <f>IF(A267="","",(-PMT(Refinance_Calculator!$C$26/12,Refinance_Calculator!$C$29,Refinance_Calculator!$C$23,0,0)))</f>
        <v>89.932578772912834</v>
      </c>
      <c r="D267" s="3">
        <f t="shared" si="33"/>
        <v>35.044638607977369</v>
      </c>
      <c r="E267" s="3">
        <f>IF(A267="","",(-PPMT(Refinance_Calculator!$C$26/12,'Internal Working'!A267,Refinance_Calculator!$C$29,Refinance_Calculator!$C$23,0,0)))</f>
        <v>54.887940164935465</v>
      </c>
      <c r="F267" s="3">
        <f t="shared" si="34"/>
        <v>6954.0397814305343</v>
      </c>
      <c r="G267" s="5">
        <f t="shared" si="35"/>
        <v>54.887940164935465</v>
      </c>
      <c r="H267" s="36">
        <f t="shared" si="36"/>
        <v>35.044638607977369</v>
      </c>
      <c r="I267" s="37" t="str">
        <f ca="1">+IF(A267 &lt;= $L$2, (Full_Report!C347-'Internal Working'!C267),"")</f>
        <v/>
      </c>
      <c r="J267" s="37" t="str">
        <f t="shared" ca="1" si="38"/>
        <v>0</v>
      </c>
      <c r="K267" s="35">
        <f t="shared" ca="1" si="39"/>
        <v>-7284.5388806059436</v>
      </c>
      <c r="L267" s="35">
        <f t="shared" ca="1" si="37"/>
        <v>-7284.5388806059436</v>
      </c>
      <c r="M267" s="2"/>
    </row>
    <row r="268" spans="1:13" x14ac:dyDescent="0.25">
      <c r="A268" s="1">
        <f>IF(OR(A267="",F267=0,A267=Refinance_Calculator!$C$29),"",A267+1)</f>
        <v>263</v>
      </c>
      <c r="B268" s="3">
        <f t="shared" si="32"/>
        <v>6954.0397814305343</v>
      </c>
      <c r="C268" s="3">
        <f>IF(A268="","",(-PMT(Refinance_Calculator!$C$26/12,Refinance_Calculator!$C$29,Refinance_Calculator!$C$23,0,0)))</f>
        <v>89.932578772912834</v>
      </c>
      <c r="D268" s="3">
        <f t="shared" si="33"/>
        <v>34.77019890715269</v>
      </c>
      <c r="E268" s="3">
        <f>IF(A268="","",(-PPMT(Refinance_Calculator!$C$26/12,'Internal Working'!A268,Refinance_Calculator!$C$29,Refinance_Calculator!$C$23,0,0)))</f>
        <v>55.162379865760144</v>
      </c>
      <c r="F268" s="3">
        <f t="shared" si="34"/>
        <v>6898.8774015647741</v>
      </c>
      <c r="G268" s="5">
        <f t="shared" si="35"/>
        <v>55.162379865760144</v>
      </c>
      <c r="H268" s="36">
        <f t="shared" si="36"/>
        <v>34.77019890715269</v>
      </c>
      <c r="I268" s="37" t="str">
        <f ca="1">+IF(A268 &lt;= $L$2, (Full_Report!C348-'Internal Working'!C268),"")</f>
        <v/>
      </c>
      <c r="J268" s="37" t="str">
        <f t="shared" ca="1" si="38"/>
        <v>0</v>
      </c>
      <c r="K268" s="35">
        <f t="shared" ca="1" si="39"/>
        <v>-7374.4714593788567</v>
      </c>
      <c r="L268" s="35">
        <f t="shared" ca="1" si="37"/>
        <v>-7374.4714593788567</v>
      </c>
      <c r="M268" s="2"/>
    </row>
    <row r="269" spans="1:13" x14ac:dyDescent="0.25">
      <c r="A269" s="1">
        <f>IF(OR(A268="",F268=0,A268=Refinance_Calculator!$C$29),"",A268+1)</f>
        <v>264</v>
      </c>
      <c r="B269" s="3">
        <f t="shared" si="32"/>
        <v>6898.8774015647741</v>
      </c>
      <c r="C269" s="3">
        <f>IF(A269="","",(-PMT(Refinance_Calculator!$C$26/12,Refinance_Calculator!$C$29,Refinance_Calculator!$C$23,0,0)))</f>
        <v>89.932578772912834</v>
      </c>
      <c r="D269" s="3">
        <f t="shared" si="33"/>
        <v>34.494387007823903</v>
      </c>
      <c r="E269" s="3">
        <f>IF(A269="","",(-PPMT(Refinance_Calculator!$C$26/12,'Internal Working'!A269,Refinance_Calculator!$C$29,Refinance_Calculator!$C$23,0,0)))</f>
        <v>55.438191765088931</v>
      </c>
      <c r="F269" s="3">
        <f t="shared" si="34"/>
        <v>6843.4392097996852</v>
      </c>
      <c r="G269" s="5">
        <f t="shared" si="35"/>
        <v>55.438191765088931</v>
      </c>
      <c r="H269" s="36">
        <f t="shared" si="36"/>
        <v>34.494387007823903</v>
      </c>
      <c r="I269" s="37" t="str">
        <f ca="1">+IF(A269 &lt;= $L$2, (Full_Report!C349-'Internal Working'!C269),"")</f>
        <v/>
      </c>
      <c r="J269" s="37" t="str">
        <f t="shared" ca="1" si="38"/>
        <v>0</v>
      </c>
      <c r="K269" s="35">
        <f t="shared" ca="1" si="39"/>
        <v>-7464.4040381517698</v>
      </c>
      <c r="L269" s="35">
        <f t="shared" ca="1" si="37"/>
        <v>-7464.4040381517698</v>
      </c>
      <c r="M269" s="2"/>
    </row>
    <row r="270" spans="1:13" x14ac:dyDescent="0.25">
      <c r="A270" s="1">
        <f>IF(OR(A269="",F269=0,A269=Refinance_Calculator!$C$29),"",A269+1)</f>
        <v>265</v>
      </c>
      <c r="B270" s="3">
        <f t="shared" si="32"/>
        <v>6843.4392097996852</v>
      </c>
      <c r="C270" s="3">
        <f>IF(A270="","",(-PMT(Refinance_Calculator!$C$26/12,Refinance_Calculator!$C$29,Refinance_Calculator!$C$23,0,0)))</f>
        <v>89.932578772912834</v>
      </c>
      <c r="D270" s="3">
        <f t="shared" si="33"/>
        <v>34.217196048998453</v>
      </c>
      <c r="E270" s="3">
        <f>IF(A270="","",(-PPMT(Refinance_Calculator!$C$26/12,'Internal Working'!A270,Refinance_Calculator!$C$29,Refinance_Calculator!$C$23,0,0)))</f>
        <v>55.715382723914381</v>
      </c>
      <c r="F270" s="3">
        <f t="shared" si="34"/>
        <v>6787.7238270757707</v>
      </c>
      <c r="G270" s="5">
        <f t="shared" si="35"/>
        <v>55.715382723914381</v>
      </c>
      <c r="H270" s="36">
        <f t="shared" si="36"/>
        <v>34.217196048998453</v>
      </c>
      <c r="I270" s="37" t="str">
        <f ca="1">+IF(A270 &lt;= $L$2, (Full_Report!C350-'Internal Working'!C270),"")</f>
        <v/>
      </c>
      <c r="J270" s="37" t="str">
        <f t="shared" ca="1" si="38"/>
        <v>0</v>
      </c>
      <c r="K270" s="35">
        <f t="shared" ca="1" si="39"/>
        <v>-7554.3366169246829</v>
      </c>
      <c r="L270" s="35">
        <f t="shared" ca="1" si="37"/>
        <v>-7554.3366169246829</v>
      </c>
      <c r="M270" s="2"/>
    </row>
    <row r="271" spans="1:13" x14ac:dyDescent="0.25">
      <c r="A271" s="1">
        <f>IF(OR(A270="",F270=0,A270=Refinance_Calculator!$C$29),"",A270+1)</f>
        <v>266</v>
      </c>
      <c r="B271" s="3">
        <f t="shared" si="32"/>
        <v>6787.7238270757707</v>
      </c>
      <c r="C271" s="3">
        <f>IF(A271="","",(-PMT(Refinance_Calculator!$C$26/12,Refinance_Calculator!$C$29,Refinance_Calculator!$C$23,0,0)))</f>
        <v>89.932578772912834</v>
      </c>
      <c r="D271" s="3">
        <f t="shared" si="33"/>
        <v>33.938619135378879</v>
      </c>
      <c r="E271" s="3">
        <f>IF(A271="","",(-PPMT(Refinance_Calculator!$C$26/12,'Internal Working'!A271,Refinance_Calculator!$C$29,Refinance_Calculator!$C$23,0,0)))</f>
        <v>55.993959637533955</v>
      </c>
      <c r="F271" s="3">
        <f t="shared" si="34"/>
        <v>6731.7298674382364</v>
      </c>
      <c r="G271" s="5">
        <f t="shared" si="35"/>
        <v>55.993959637533955</v>
      </c>
      <c r="H271" s="36">
        <f t="shared" si="36"/>
        <v>33.938619135378879</v>
      </c>
      <c r="I271" s="37" t="str">
        <f ca="1">+IF(A271 &lt;= $L$2, (Full_Report!C351-'Internal Working'!C271),"")</f>
        <v/>
      </c>
      <c r="J271" s="37" t="str">
        <f t="shared" ca="1" si="38"/>
        <v>0</v>
      </c>
      <c r="K271" s="35">
        <f t="shared" ca="1" si="39"/>
        <v>-7644.2691956975959</v>
      </c>
      <c r="L271" s="35">
        <f t="shared" ca="1" si="37"/>
        <v>-7644.2691956975959</v>
      </c>
      <c r="M271" s="2"/>
    </row>
    <row r="272" spans="1:13" x14ac:dyDescent="0.25">
      <c r="A272" s="1">
        <f>IF(OR(A271="",F271=0,A271=Refinance_Calculator!$C$29),"",A271+1)</f>
        <v>267</v>
      </c>
      <c r="B272" s="3">
        <f t="shared" si="32"/>
        <v>6731.7298674382364</v>
      </c>
      <c r="C272" s="3">
        <f>IF(A272="","",(-PMT(Refinance_Calculator!$C$26/12,Refinance_Calculator!$C$29,Refinance_Calculator!$C$23,0,0)))</f>
        <v>89.932578772912834</v>
      </c>
      <c r="D272" s="3">
        <f t="shared" si="33"/>
        <v>33.658649337191214</v>
      </c>
      <c r="E272" s="3">
        <f>IF(A272="","",(-PPMT(Refinance_Calculator!$C$26/12,'Internal Working'!A272,Refinance_Calculator!$C$29,Refinance_Calculator!$C$23,0,0)))</f>
        <v>56.27392943572162</v>
      </c>
      <c r="F272" s="3">
        <f t="shared" si="34"/>
        <v>6675.4559380025148</v>
      </c>
      <c r="G272" s="5">
        <f t="shared" si="35"/>
        <v>56.27392943572162</v>
      </c>
      <c r="H272" s="36">
        <f t="shared" si="36"/>
        <v>33.658649337191214</v>
      </c>
      <c r="I272" s="37" t="str">
        <f ca="1">+IF(A272 &lt;= $L$2, (Full_Report!C352-'Internal Working'!C272),"")</f>
        <v/>
      </c>
      <c r="J272" s="37" t="str">
        <f t="shared" ca="1" si="38"/>
        <v>0</v>
      </c>
      <c r="K272" s="35">
        <f t="shared" ca="1" si="39"/>
        <v>-7734.201774470509</v>
      </c>
      <c r="L272" s="35">
        <f t="shared" ca="1" si="37"/>
        <v>-7734.201774470509</v>
      </c>
      <c r="M272" s="2"/>
    </row>
    <row r="273" spans="1:13" x14ac:dyDescent="0.25">
      <c r="A273" s="1">
        <f>IF(OR(A272="",F272=0,A272=Refinance_Calculator!$C$29),"",A272+1)</f>
        <v>268</v>
      </c>
      <c r="B273" s="3">
        <f t="shared" si="32"/>
        <v>6675.4559380025148</v>
      </c>
      <c r="C273" s="3">
        <f>IF(A273="","",(-PMT(Refinance_Calculator!$C$26/12,Refinance_Calculator!$C$29,Refinance_Calculator!$C$23,0,0)))</f>
        <v>89.932578772912834</v>
      </c>
      <c r="D273" s="3">
        <f t="shared" si="33"/>
        <v>33.377279690012607</v>
      </c>
      <c r="E273" s="3">
        <f>IF(A273="","",(-PPMT(Refinance_Calculator!$C$26/12,'Internal Working'!A273,Refinance_Calculator!$C$29,Refinance_Calculator!$C$23,0,0)))</f>
        <v>56.555299082900227</v>
      </c>
      <c r="F273" s="3">
        <f t="shared" si="34"/>
        <v>6618.9006389196147</v>
      </c>
      <c r="G273" s="5">
        <f t="shared" si="35"/>
        <v>56.555299082900227</v>
      </c>
      <c r="H273" s="36">
        <f t="shared" si="36"/>
        <v>33.377279690012607</v>
      </c>
      <c r="I273" s="37" t="str">
        <f ca="1">+IF(A273 &lt;= $L$2, (Full_Report!C353-'Internal Working'!C273),"")</f>
        <v/>
      </c>
      <c r="J273" s="37" t="str">
        <f t="shared" ca="1" si="38"/>
        <v>0</v>
      </c>
      <c r="K273" s="35">
        <f t="shared" ca="1" si="39"/>
        <v>-7824.1343532434221</v>
      </c>
      <c r="L273" s="35">
        <f t="shared" ca="1" si="37"/>
        <v>-7824.1343532434221</v>
      </c>
      <c r="M273" s="2"/>
    </row>
    <row r="274" spans="1:13" x14ac:dyDescent="0.25">
      <c r="A274" s="1">
        <f>IF(OR(A273="",F273=0,A273=Refinance_Calculator!$C$29),"",A273+1)</f>
        <v>269</v>
      </c>
      <c r="B274" s="3">
        <f t="shared" ref="B274:B337" si="40">IF(A274="","",(F273))</f>
        <v>6618.9006389196147</v>
      </c>
      <c r="C274" s="3">
        <f>IF(A274="","",(-PMT(Refinance_Calculator!$C$26/12,Refinance_Calculator!$C$29,Refinance_Calculator!$C$23,0,0)))</f>
        <v>89.932578772912834</v>
      </c>
      <c r="D274" s="3">
        <f t="shared" ref="D274:D337" si="41">+IF(A274="","",(C274-E274))</f>
        <v>33.094503194598097</v>
      </c>
      <c r="E274" s="3">
        <f>IF(A274="","",(-PPMT(Refinance_Calculator!$C$26/12,'Internal Working'!A274,Refinance_Calculator!$C$29,Refinance_Calculator!$C$23,0,0)))</f>
        <v>56.838075578314736</v>
      </c>
      <c r="F274" s="3">
        <f t="shared" ref="F274:F337" si="42">+IF(A274="","",(B274-E274))</f>
        <v>6562.0625633413001</v>
      </c>
      <c r="G274" s="5">
        <f t="shared" ref="G274:G337" si="43">+E274</f>
        <v>56.838075578314736</v>
      </c>
      <c r="H274" s="36">
        <f t="shared" ref="H274:H337" si="44">+D274</f>
        <v>33.094503194598097</v>
      </c>
      <c r="I274" s="37" t="str">
        <f ca="1">+IF(A274 &lt;= $L$2, (Full_Report!C354-'Internal Working'!C274),"")</f>
        <v/>
      </c>
      <c r="J274" s="37" t="str">
        <f t="shared" ca="1" si="38"/>
        <v>0</v>
      </c>
      <c r="K274" s="35">
        <f t="shared" ca="1" si="39"/>
        <v>-7914.0669320163352</v>
      </c>
      <c r="L274" s="35">
        <f t="shared" ca="1" si="37"/>
        <v>-7914.0669320163352</v>
      </c>
      <c r="M274" s="2"/>
    </row>
    <row r="275" spans="1:13" x14ac:dyDescent="0.25">
      <c r="A275" s="1">
        <f>IF(OR(A274="",F274=0,A274=Refinance_Calculator!$C$29),"",A274+1)</f>
        <v>270</v>
      </c>
      <c r="B275" s="3">
        <f t="shared" si="40"/>
        <v>6562.0625633413001</v>
      </c>
      <c r="C275" s="3">
        <f>IF(A275="","",(-PMT(Refinance_Calculator!$C$26/12,Refinance_Calculator!$C$29,Refinance_Calculator!$C$23,0,0)))</f>
        <v>89.932578772912834</v>
      </c>
      <c r="D275" s="3">
        <f t="shared" si="41"/>
        <v>32.810312816706528</v>
      </c>
      <c r="E275" s="3">
        <f>IF(A275="","",(-PPMT(Refinance_Calculator!$C$26/12,'Internal Working'!A275,Refinance_Calculator!$C$29,Refinance_Calculator!$C$23,0,0)))</f>
        <v>57.122265956206306</v>
      </c>
      <c r="F275" s="3">
        <f t="shared" si="42"/>
        <v>6504.9402973850938</v>
      </c>
      <c r="G275" s="5">
        <f t="shared" si="43"/>
        <v>57.122265956206306</v>
      </c>
      <c r="H275" s="36">
        <f t="shared" si="44"/>
        <v>32.810312816706528</v>
      </c>
      <c r="I275" s="37" t="str">
        <f ca="1">+IF(A275 &lt;= $L$2, (Full_Report!C355-'Internal Working'!C275),"")</f>
        <v/>
      </c>
      <c r="J275" s="37" t="str">
        <f t="shared" ca="1" si="38"/>
        <v>0</v>
      </c>
      <c r="K275" s="35">
        <f t="shared" ca="1" si="39"/>
        <v>-8003.9995107892482</v>
      </c>
      <c r="L275" s="35">
        <f t="shared" ca="1" si="37"/>
        <v>-8003.9995107892482</v>
      </c>
      <c r="M275" s="2"/>
    </row>
    <row r="276" spans="1:13" x14ac:dyDescent="0.25">
      <c r="A276" s="1">
        <f>IF(OR(A275="",F275=0,A275=Refinance_Calculator!$C$29),"",A275+1)</f>
        <v>271</v>
      </c>
      <c r="B276" s="3">
        <f t="shared" si="40"/>
        <v>6504.9402973850938</v>
      </c>
      <c r="C276" s="3">
        <f>IF(A276="","",(-PMT(Refinance_Calculator!$C$26/12,Refinance_Calculator!$C$29,Refinance_Calculator!$C$23,0,0)))</f>
        <v>89.932578772912834</v>
      </c>
      <c r="D276" s="3">
        <f t="shared" si="41"/>
        <v>32.524701486925501</v>
      </c>
      <c r="E276" s="3">
        <f>IF(A276="","",(-PPMT(Refinance_Calculator!$C$26/12,'Internal Working'!A276,Refinance_Calculator!$C$29,Refinance_Calculator!$C$23,0,0)))</f>
        <v>57.407877285987333</v>
      </c>
      <c r="F276" s="3">
        <f t="shared" si="42"/>
        <v>6447.5324200991063</v>
      </c>
      <c r="G276" s="5">
        <f t="shared" si="43"/>
        <v>57.407877285987333</v>
      </c>
      <c r="H276" s="36">
        <f t="shared" si="44"/>
        <v>32.524701486925501</v>
      </c>
      <c r="I276" s="37" t="str">
        <f ca="1">+IF(A276 &lt;= $L$2, (Full_Report!C356-'Internal Working'!C276),"")</f>
        <v/>
      </c>
      <c r="J276" s="37" t="str">
        <f t="shared" ca="1" si="38"/>
        <v>0</v>
      </c>
      <c r="K276" s="35">
        <f t="shared" ca="1" si="39"/>
        <v>-8093.9320895621613</v>
      </c>
      <c r="L276" s="35">
        <f t="shared" ca="1" si="37"/>
        <v>-8093.9320895621613</v>
      </c>
      <c r="M276" s="2"/>
    </row>
    <row r="277" spans="1:13" x14ac:dyDescent="0.25">
      <c r="A277" s="1">
        <f>IF(OR(A276="",F276=0,A276=Refinance_Calculator!$C$29),"",A276+1)</f>
        <v>272</v>
      </c>
      <c r="B277" s="3">
        <f t="shared" si="40"/>
        <v>6447.5324200991063</v>
      </c>
      <c r="C277" s="3">
        <f>IF(A277="","",(-PMT(Refinance_Calculator!$C$26/12,Refinance_Calculator!$C$29,Refinance_Calculator!$C$23,0,0)))</f>
        <v>89.932578772912834</v>
      </c>
      <c r="D277" s="3">
        <f t="shared" si="41"/>
        <v>32.237662100495569</v>
      </c>
      <c r="E277" s="3">
        <f>IF(A277="","",(-PPMT(Refinance_Calculator!$C$26/12,'Internal Working'!A277,Refinance_Calculator!$C$29,Refinance_Calculator!$C$23,0,0)))</f>
        <v>57.694916672417264</v>
      </c>
      <c r="F277" s="3">
        <f t="shared" si="42"/>
        <v>6389.8375034266892</v>
      </c>
      <c r="G277" s="5">
        <f t="shared" si="43"/>
        <v>57.694916672417264</v>
      </c>
      <c r="H277" s="36">
        <f t="shared" si="44"/>
        <v>32.237662100495569</v>
      </c>
      <c r="I277" s="37" t="str">
        <f ca="1">+IF(A277 &lt;= $L$2, (Full_Report!C357-'Internal Working'!C277),"")</f>
        <v/>
      </c>
      <c r="J277" s="37" t="str">
        <f t="shared" ca="1" si="38"/>
        <v>0</v>
      </c>
      <c r="K277" s="35">
        <f t="shared" ca="1" si="39"/>
        <v>-8183.8646683350744</v>
      </c>
      <c r="L277" s="35">
        <f t="shared" ca="1" si="37"/>
        <v>-8183.8646683350744</v>
      </c>
      <c r="M277" s="2"/>
    </row>
    <row r="278" spans="1:13" x14ac:dyDescent="0.25">
      <c r="A278" s="1">
        <f>IF(OR(A277="",F277=0,A277=Refinance_Calculator!$C$29),"",A277+1)</f>
        <v>273</v>
      </c>
      <c r="B278" s="3">
        <f t="shared" si="40"/>
        <v>6389.8375034266892</v>
      </c>
      <c r="C278" s="3">
        <f>IF(A278="","",(-PMT(Refinance_Calculator!$C$26/12,Refinance_Calculator!$C$29,Refinance_Calculator!$C$23,0,0)))</f>
        <v>89.932578772912834</v>
      </c>
      <c r="D278" s="3">
        <f t="shared" si="41"/>
        <v>31.949187517133474</v>
      </c>
      <c r="E278" s="3">
        <f>IF(A278="","",(-PPMT(Refinance_Calculator!$C$26/12,'Internal Working'!A278,Refinance_Calculator!$C$29,Refinance_Calculator!$C$23,0,0)))</f>
        <v>57.98339125577936</v>
      </c>
      <c r="F278" s="3">
        <f t="shared" si="42"/>
        <v>6331.8541121709095</v>
      </c>
      <c r="G278" s="5">
        <f t="shared" si="43"/>
        <v>57.98339125577936</v>
      </c>
      <c r="H278" s="36">
        <f t="shared" si="44"/>
        <v>31.949187517133474</v>
      </c>
      <c r="I278" s="37" t="str">
        <f ca="1">+IF(A278 &lt;= $L$2, (Full_Report!C358-'Internal Working'!C278),"")</f>
        <v/>
      </c>
      <c r="J278" s="37" t="str">
        <f t="shared" ca="1" si="38"/>
        <v>0</v>
      </c>
      <c r="K278" s="35">
        <f t="shared" ca="1" si="39"/>
        <v>-8273.7972471079865</v>
      </c>
      <c r="L278" s="35">
        <f t="shared" ca="1" si="37"/>
        <v>-8273.7972471079865</v>
      </c>
      <c r="M278" s="2"/>
    </row>
    <row r="279" spans="1:13" x14ac:dyDescent="0.25">
      <c r="A279" s="1">
        <f>IF(OR(A278="",F278=0,A278=Refinance_Calculator!$C$29),"",A278+1)</f>
        <v>274</v>
      </c>
      <c r="B279" s="3">
        <f t="shared" si="40"/>
        <v>6331.8541121709095</v>
      </c>
      <c r="C279" s="3">
        <f>IF(A279="","",(-PMT(Refinance_Calculator!$C$26/12,Refinance_Calculator!$C$29,Refinance_Calculator!$C$23,0,0)))</f>
        <v>89.932578772912834</v>
      </c>
      <c r="D279" s="3">
        <f t="shared" si="41"/>
        <v>31.65927056085458</v>
      </c>
      <c r="E279" s="3">
        <f>IF(A279="","",(-PPMT(Refinance_Calculator!$C$26/12,'Internal Working'!A279,Refinance_Calculator!$C$29,Refinance_Calculator!$C$23,0,0)))</f>
        <v>58.273308212058254</v>
      </c>
      <c r="F279" s="3">
        <f t="shared" si="42"/>
        <v>6273.580803958851</v>
      </c>
      <c r="G279" s="5">
        <f t="shared" si="43"/>
        <v>58.273308212058254</v>
      </c>
      <c r="H279" s="36">
        <f t="shared" si="44"/>
        <v>31.65927056085458</v>
      </c>
      <c r="I279" s="37" t="str">
        <f ca="1">+IF(A279 &lt;= $L$2, (Full_Report!C359-'Internal Working'!C279),"")</f>
        <v/>
      </c>
      <c r="J279" s="37" t="str">
        <f t="shared" ca="1" si="38"/>
        <v>0</v>
      </c>
      <c r="K279" s="35">
        <f t="shared" ca="1" si="39"/>
        <v>-8363.7298258808987</v>
      </c>
      <c r="L279" s="35">
        <f t="shared" ca="1" si="37"/>
        <v>-8363.7298258808987</v>
      </c>
      <c r="M279" s="2"/>
    </row>
    <row r="280" spans="1:13" x14ac:dyDescent="0.25">
      <c r="A280" s="1">
        <f>IF(OR(A279="",F279=0,A279=Refinance_Calculator!$C$29),"",A279+1)</f>
        <v>275</v>
      </c>
      <c r="B280" s="3">
        <f t="shared" si="40"/>
        <v>6273.580803958851</v>
      </c>
      <c r="C280" s="3">
        <f>IF(A280="","",(-PMT(Refinance_Calculator!$C$26/12,Refinance_Calculator!$C$29,Refinance_Calculator!$C$23,0,0)))</f>
        <v>89.932578772912834</v>
      </c>
      <c r="D280" s="3">
        <f t="shared" si="41"/>
        <v>31.367904019794281</v>
      </c>
      <c r="E280" s="3">
        <f>IF(A280="","",(-PPMT(Refinance_Calculator!$C$26/12,'Internal Working'!A280,Refinance_Calculator!$C$29,Refinance_Calculator!$C$23,0,0)))</f>
        <v>58.564674753118553</v>
      </c>
      <c r="F280" s="3">
        <f t="shared" si="42"/>
        <v>6215.0161292057328</v>
      </c>
      <c r="G280" s="5">
        <f t="shared" si="43"/>
        <v>58.564674753118553</v>
      </c>
      <c r="H280" s="36">
        <f t="shared" si="44"/>
        <v>31.367904019794281</v>
      </c>
      <c r="I280" s="37" t="str">
        <f ca="1">+IF(A280 &lt;= $L$2, (Full_Report!C360-'Internal Working'!C280),"")</f>
        <v/>
      </c>
      <c r="J280" s="37" t="str">
        <f t="shared" ca="1" si="38"/>
        <v>0</v>
      </c>
      <c r="K280" s="35">
        <f t="shared" ca="1" si="39"/>
        <v>-8453.6624046538109</v>
      </c>
      <c r="L280" s="35">
        <f t="shared" ca="1" si="37"/>
        <v>-8453.6624046538109</v>
      </c>
      <c r="M280" s="2"/>
    </row>
    <row r="281" spans="1:13" x14ac:dyDescent="0.25">
      <c r="A281" s="1">
        <f>IF(OR(A280="",F280=0,A280=Refinance_Calculator!$C$29),"",A280+1)</f>
        <v>276</v>
      </c>
      <c r="B281" s="3">
        <f t="shared" si="40"/>
        <v>6215.0161292057328</v>
      </c>
      <c r="C281" s="3">
        <f>IF(A281="","",(-PMT(Refinance_Calculator!$C$26/12,Refinance_Calculator!$C$29,Refinance_Calculator!$C$23,0,0)))</f>
        <v>89.932578772912834</v>
      </c>
      <c r="D281" s="3">
        <f t="shared" si="41"/>
        <v>31.075080646028695</v>
      </c>
      <c r="E281" s="3">
        <f>IF(A281="","",(-PPMT(Refinance_Calculator!$C$26/12,'Internal Working'!A281,Refinance_Calculator!$C$29,Refinance_Calculator!$C$23,0,0)))</f>
        <v>58.857498126884138</v>
      </c>
      <c r="F281" s="3">
        <f t="shared" si="42"/>
        <v>6156.1586310788489</v>
      </c>
      <c r="G281" s="5">
        <f t="shared" si="43"/>
        <v>58.857498126884138</v>
      </c>
      <c r="H281" s="36">
        <f t="shared" si="44"/>
        <v>31.075080646028695</v>
      </c>
      <c r="I281" s="37" t="str">
        <f ca="1">+IF(A281 &lt;= $L$2, (Full_Report!C361-'Internal Working'!C281),"")</f>
        <v/>
      </c>
      <c r="J281" s="37" t="str">
        <f t="shared" ca="1" si="38"/>
        <v>0</v>
      </c>
      <c r="K281" s="35">
        <f t="shared" ca="1" si="39"/>
        <v>-8543.594983426723</v>
      </c>
      <c r="L281" s="35">
        <f t="shared" ca="1" si="37"/>
        <v>-8543.594983426723</v>
      </c>
      <c r="M281" s="2"/>
    </row>
    <row r="282" spans="1:13" x14ac:dyDescent="0.25">
      <c r="A282" s="1">
        <f>IF(OR(A281="",F281=0,A281=Refinance_Calculator!$C$29),"",A281+1)</f>
        <v>277</v>
      </c>
      <c r="B282" s="3">
        <f t="shared" si="40"/>
        <v>6156.1586310788489</v>
      </c>
      <c r="C282" s="3">
        <f>IF(A282="","",(-PMT(Refinance_Calculator!$C$26/12,Refinance_Calculator!$C$29,Refinance_Calculator!$C$23,0,0)))</f>
        <v>89.932578772912834</v>
      </c>
      <c r="D282" s="3">
        <f t="shared" si="41"/>
        <v>30.780793155394271</v>
      </c>
      <c r="E282" s="3">
        <f>IF(A282="","",(-PPMT(Refinance_Calculator!$C$26/12,'Internal Working'!A282,Refinance_Calculator!$C$29,Refinance_Calculator!$C$23,0,0)))</f>
        <v>59.151785617518563</v>
      </c>
      <c r="F282" s="3">
        <f t="shared" si="42"/>
        <v>6097.0068454613302</v>
      </c>
      <c r="G282" s="5">
        <f t="shared" si="43"/>
        <v>59.151785617518563</v>
      </c>
      <c r="H282" s="36">
        <f t="shared" si="44"/>
        <v>30.780793155394271</v>
      </c>
      <c r="I282" s="37" t="str">
        <f ca="1">+IF(A282 &lt;= $L$2, (Full_Report!C362-'Internal Working'!C282),"")</f>
        <v/>
      </c>
      <c r="J282" s="37" t="str">
        <f t="shared" ca="1" si="38"/>
        <v>0</v>
      </c>
      <c r="K282" s="35">
        <f t="shared" ca="1" si="39"/>
        <v>-8633.5275621996352</v>
      </c>
      <c r="L282" s="35">
        <f t="shared" ca="1" si="37"/>
        <v>-8633.5275621996352</v>
      </c>
      <c r="M282" s="2"/>
    </row>
    <row r="283" spans="1:13" x14ac:dyDescent="0.25">
      <c r="A283" s="1">
        <f>IF(OR(A282="",F282=0,A282=Refinance_Calculator!$C$29),"",A282+1)</f>
        <v>278</v>
      </c>
      <c r="B283" s="3">
        <f t="shared" si="40"/>
        <v>6097.0068454613302</v>
      </c>
      <c r="C283" s="3">
        <f>IF(A283="","",(-PMT(Refinance_Calculator!$C$26/12,Refinance_Calculator!$C$29,Refinance_Calculator!$C$23,0,0)))</f>
        <v>89.932578772912834</v>
      </c>
      <c r="D283" s="3">
        <f t="shared" si="41"/>
        <v>30.485034227306684</v>
      </c>
      <c r="E283" s="3">
        <f>IF(A283="","",(-PPMT(Refinance_Calculator!$C$26/12,'Internal Working'!A283,Refinance_Calculator!$C$29,Refinance_Calculator!$C$23,0,0)))</f>
        <v>59.447544545606149</v>
      </c>
      <c r="F283" s="3">
        <f t="shared" si="42"/>
        <v>6037.5593009157237</v>
      </c>
      <c r="G283" s="5">
        <f t="shared" si="43"/>
        <v>59.447544545606149</v>
      </c>
      <c r="H283" s="36">
        <f t="shared" si="44"/>
        <v>30.485034227306684</v>
      </c>
      <c r="I283" s="37" t="str">
        <f ca="1">+IF(A283 &lt;= $L$2, (Full_Report!C363-'Internal Working'!C283),"")</f>
        <v/>
      </c>
      <c r="J283" s="37" t="str">
        <f t="shared" ca="1" si="38"/>
        <v>0</v>
      </c>
      <c r="K283" s="35">
        <f t="shared" ca="1" si="39"/>
        <v>-8723.4601409725474</v>
      </c>
      <c r="L283" s="35">
        <f t="shared" ca="1" si="37"/>
        <v>-8723.4601409725474</v>
      </c>
      <c r="M283" s="2"/>
    </row>
    <row r="284" spans="1:13" x14ac:dyDescent="0.25">
      <c r="A284" s="1">
        <f>IF(OR(A283="",F283=0,A283=Refinance_Calculator!$C$29),"",A283+1)</f>
        <v>279</v>
      </c>
      <c r="B284" s="3">
        <f t="shared" si="40"/>
        <v>6037.5593009157237</v>
      </c>
      <c r="C284" s="3">
        <f>IF(A284="","",(-PMT(Refinance_Calculator!$C$26/12,Refinance_Calculator!$C$29,Refinance_Calculator!$C$23,0,0)))</f>
        <v>89.932578772912834</v>
      </c>
      <c r="D284" s="3">
        <f t="shared" si="41"/>
        <v>30.18779650457865</v>
      </c>
      <c r="E284" s="3">
        <f>IF(A284="","",(-PPMT(Refinance_Calculator!$C$26/12,'Internal Working'!A284,Refinance_Calculator!$C$29,Refinance_Calculator!$C$23,0,0)))</f>
        <v>59.744782268334184</v>
      </c>
      <c r="F284" s="3">
        <f t="shared" si="42"/>
        <v>5977.8145186473894</v>
      </c>
      <c r="G284" s="5">
        <f t="shared" si="43"/>
        <v>59.744782268334184</v>
      </c>
      <c r="H284" s="36">
        <f t="shared" si="44"/>
        <v>30.18779650457865</v>
      </c>
      <c r="I284" s="37" t="str">
        <f ca="1">+IF(A284 &lt;= $L$2, (Full_Report!C364-'Internal Working'!C284),"")</f>
        <v/>
      </c>
      <c r="J284" s="37" t="str">
        <f t="shared" ca="1" si="38"/>
        <v>0</v>
      </c>
      <c r="K284" s="35">
        <f t="shared" ca="1" si="39"/>
        <v>-8813.3927197454595</v>
      </c>
      <c r="L284" s="35">
        <f t="shared" ca="1" si="37"/>
        <v>-8813.3927197454595</v>
      </c>
      <c r="M284" s="2"/>
    </row>
    <row r="285" spans="1:13" x14ac:dyDescent="0.25">
      <c r="A285" s="1">
        <f>IF(OR(A284="",F284=0,A284=Refinance_Calculator!$C$29),"",A284+1)</f>
        <v>280</v>
      </c>
      <c r="B285" s="3">
        <f t="shared" si="40"/>
        <v>5977.8145186473894</v>
      </c>
      <c r="C285" s="3">
        <f>IF(A285="","",(-PMT(Refinance_Calculator!$C$26/12,Refinance_Calculator!$C$29,Refinance_Calculator!$C$23,0,0)))</f>
        <v>89.932578772912834</v>
      </c>
      <c r="D285" s="3">
        <f t="shared" si="41"/>
        <v>29.889072593236975</v>
      </c>
      <c r="E285" s="3">
        <f>IF(A285="","",(-PPMT(Refinance_Calculator!$C$26/12,'Internal Working'!A285,Refinance_Calculator!$C$29,Refinance_Calculator!$C$23,0,0)))</f>
        <v>60.043506179675859</v>
      </c>
      <c r="F285" s="3">
        <f t="shared" si="42"/>
        <v>5917.7710124677133</v>
      </c>
      <c r="G285" s="5">
        <f t="shared" si="43"/>
        <v>60.043506179675859</v>
      </c>
      <c r="H285" s="36">
        <f t="shared" si="44"/>
        <v>29.889072593236975</v>
      </c>
      <c r="I285" s="37" t="str">
        <f ca="1">+IF(A285 &lt;= $L$2, (Full_Report!C365-'Internal Working'!C285),"")</f>
        <v/>
      </c>
      <c r="J285" s="37" t="str">
        <f t="shared" ca="1" si="38"/>
        <v>0</v>
      </c>
      <c r="K285" s="35">
        <f t="shared" ca="1" si="39"/>
        <v>-8903.3252985183717</v>
      </c>
      <c r="L285" s="35">
        <f t="shared" ca="1" si="37"/>
        <v>-8903.3252985183717</v>
      </c>
      <c r="M285" s="2"/>
    </row>
    <row r="286" spans="1:13" x14ac:dyDescent="0.25">
      <c r="A286" s="1">
        <f>IF(OR(A285="",F285=0,A285=Refinance_Calculator!$C$29),"",A285+1)</f>
        <v>281</v>
      </c>
      <c r="B286" s="3">
        <f t="shared" si="40"/>
        <v>5917.7710124677133</v>
      </c>
      <c r="C286" s="3">
        <f>IF(A286="","",(-PMT(Refinance_Calculator!$C$26/12,Refinance_Calculator!$C$29,Refinance_Calculator!$C$23,0,0)))</f>
        <v>89.932578772912834</v>
      </c>
      <c r="D286" s="3">
        <f t="shared" si="41"/>
        <v>29.588855062338595</v>
      </c>
      <c r="E286" s="3">
        <f>IF(A286="","",(-PPMT(Refinance_Calculator!$C$26/12,'Internal Working'!A286,Refinance_Calculator!$C$29,Refinance_Calculator!$C$23,0,0)))</f>
        <v>60.343723710574238</v>
      </c>
      <c r="F286" s="3">
        <f t="shared" si="42"/>
        <v>5857.4272887571387</v>
      </c>
      <c r="G286" s="5">
        <f t="shared" si="43"/>
        <v>60.343723710574238</v>
      </c>
      <c r="H286" s="36">
        <f t="shared" si="44"/>
        <v>29.588855062338595</v>
      </c>
      <c r="I286" s="37" t="str">
        <f ca="1">+IF(A286 &lt;= $L$2, (Full_Report!C366-'Internal Working'!C286),"")</f>
        <v/>
      </c>
      <c r="J286" s="37" t="str">
        <f t="shared" ca="1" si="38"/>
        <v>0</v>
      </c>
      <c r="K286" s="35">
        <f t="shared" ca="1" si="39"/>
        <v>-8993.2578772912839</v>
      </c>
      <c r="L286" s="35">
        <f t="shared" ca="1" si="37"/>
        <v>-8993.2578772912839</v>
      </c>
      <c r="M286" s="2"/>
    </row>
    <row r="287" spans="1:13" x14ac:dyDescent="0.25">
      <c r="A287" s="1">
        <f>IF(OR(A286="",F286=0,A286=Refinance_Calculator!$C$29),"",A286+1)</f>
        <v>282</v>
      </c>
      <c r="B287" s="3">
        <f t="shared" si="40"/>
        <v>5857.4272887571387</v>
      </c>
      <c r="C287" s="3">
        <f>IF(A287="","",(-PMT(Refinance_Calculator!$C$26/12,Refinance_Calculator!$C$29,Refinance_Calculator!$C$23,0,0)))</f>
        <v>89.932578772912834</v>
      </c>
      <c r="D287" s="3">
        <f t="shared" si="41"/>
        <v>29.287136443785727</v>
      </c>
      <c r="E287" s="3">
        <f>IF(A287="","",(-PPMT(Refinance_Calculator!$C$26/12,'Internal Working'!A287,Refinance_Calculator!$C$29,Refinance_Calculator!$C$23,0,0)))</f>
        <v>60.645442329127107</v>
      </c>
      <c r="F287" s="3">
        <f t="shared" si="42"/>
        <v>5796.7818464280117</v>
      </c>
      <c r="G287" s="5">
        <f t="shared" si="43"/>
        <v>60.645442329127107</v>
      </c>
      <c r="H287" s="36">
        <f t="shared" si="44"/>
        <v>29.287136443785727</v>
      </c>
      <c r="I287" s="37" t="str">
        <f ca="1">+IF(A287 &lt;= $L$2, (Full_Report!C367-'Internal Working'!C287),"")</f>
        <v/>
      </c>
      <c r="J287" s="37" t="str">
        <f t="shared" ca="1" si="38"/>
        <v>0</v>
      </c>
      <c r="K287" s="35">
        <f t="shared" ca="1" si="39"/>
        <v>-9083.190456064196</v>
      </c>
      <c r="L287" s="35">
        <f t="shared" ca="1" si="37"/>
        <v>-9083.190456064196</v>
      </c>
      <c r="M287" s="2"/>
    </row>
    <row r="288" spans="1:13" x14ac:dyDescent="0.25">
      <c r="A288" s="1">
        <f>IF(OR(A287="",F287=0,A287=Refinance_Calculator!$C$29),"",A287+1)</f>
        <v>283</v>
      </c>
      <c r="B288" s="3">
        <f t="shared" si="40"/>
        <v>5796.7818464280117</v>
      </c>
      <c r="C288" s="3">
        <f>IF(A288="","",(-PMT(Refinance_Calculator!$C$26/12,Refinance_Calculator!$C$29,Refinance_Calculator!$C$23,0,0)))</f>
        <v>89.932578772912834</v>
      </c>
      <c r="D288" s="3">
        <f t="shared" si="41"/>
        <v>28.983909232140086</v>
      </c>
      <c r="E288" s="3">
        <f>IF(A288="","",(-PPMT(Refinance_Calculator!$C$26/12,'Internal Working'!A288,Refinance_Calculator!$C$29,Refinance_Calculator!$C$23,0,0)))</f>
        <v>60.948669540772748</v>
      </c>
      <c r="F288" s="3">
        <f t="shared" si="42"/>
        <v>5735.8331768872386</v>
      </c>
      <c r="G288" s="5">
        <f t="shared" si="43"/>
        <v>60.948669540772748</v>
      </c>
      <c r="H288" s="36">
        <f t="shared" si="44"/>
        <v>28.983909232140086</v>
      </c>
      <c r="I288" s="37" t="str">
        <f ca="1">+IF(A288 &lt;= $L$2, (Full_Report!C368-'Internal Working'!C288),"")</f>
        <v/>
      </c>
      <c r="J288" s="37" t="str">
        <f t="shared" ca="1" si="38"/>
        <v>0</v>
      </c>
      <c r="K288" s="35">
        <f t="shared" ca="1" si="39"/>
        <v>-9173.1230348371082</v>
      </c>
      <c r="L288" s="35">
        <f t="shared" ca="1" si="37"/>
        <v>-9173.1230348371082</v>
      </c>
      <c r="M288" s="2"/>
    </row>
    <row r="289" spans="1:13" x14ac:dyDescent="0.25">
      <c r="A289" s="1">
        <f>IF(OR(A288="",F288=0,A288=Refinance_Calculator!$C$29),"",A288+1)</f>
        <v>284</v>
      </c>
      <c r="B289" s="3">
        <f t="shared" si="40"/>
        <v>5735.8331768872386</v>
      </c>
      <c r="C289" s="3">
        <f>IF(A289="","",(-PMT(Refinance_Calculator!$C$26/12,Refinance_Calculator!$C$29,Refinance_Calculator!$C$23,0,0)))</f>
        <v>89.932578772912834</v>
      </c>
      <c r="D289" s="3">
        <f t="shared" si="41"/>
        <v>28.67916588443623</v>
      </c>
      <c r="E289" s="3">
        <f>IF(A289="","",(-PPMT(Refinance_Calculator!$C$26/12,'Internal Working'!A289,Refinance_Calculator!$C$29,Refinance_Calculator!$C$23,0,0)))</f>
        <v>61.253412888476603</v>
      </c>
      <c r="F289" s="3">
        <f t="shared" si="42"/>
        <v>5674.5797639987622</v>
      </c>
      <c r="G289" s="5">
        <f t="shared" si="43"/>
        <v>61.253412888476603</v>
      </c>
      <c r="H289" s="36">
        <f t="shared" si="44"/>
        <v>28.67916588443623</v>
      </c>
      <c r="I289" s="37" t="str">
        <f ca="1">+IF(A289 &lt;= $L$2, (Full_Report!C369-'Internal Working'!C289),"")</f>
        <v/>
      </c>
      <c r="J289" s="37" t="str">
        <f t="shared" ca="1" si="38"/>
        <v>0</v>
      </c>
      <c r="K289" s="35">
        <f t="shared" ca="1" si="39"/>
        <v>-9263.0556136100204</v>
      </c>
      <c r="L289" s="35">
        <f t="shared" ca="1" si="37"/>
        <v>-9263.0556136100204</v>
      </c>
      <c r="M289" s="2"/>
    </row>
    <row r="290" spans="1:13" x14ac:dyDescent="0.25">
      <c r="A290" s="1">
        <f>IF(OR(A289="",F289=0,A289=Refinance_Calculator!$C$29),"",A289+1)</f>
        <v>285</v>
      </c>
      <c r="B290" s="3">
        <f t="shared" si="40"/>
        <v>5674.5797639987622</v>
      </c>
      <c r="C290" s="3">
        <f>IF(A290="","",(-PMT(Refinance_Calculator!$C$26/12,Refinance_Calculator!$C$29,Refinance_Calculator!$C$23,0,0)))</f>
        <v>89.932578772912834</v>
      </c>
      <c r="D290" s="3">
        <f t="shared" si="41"/>
        <v>28.372898819993843</v>
      </c>
      <c r="E290" s="3">
        <f>IF(A290="","",(-PPMT(Refinance_Calculator!$C$26/12,'Internal Working'!A290,Refinance_Calculator!$C$29,Refinance_Calculator!$C$23,0,0)))</f>
        <v>61.559679952918991</v>
      </c>
      <c r="F290" s="3">
        <f t="shared" si="42"/>
        <v>5613.0200840458429</v>
      </c>
      <c r="G290" s="5">
        <f t="shared" si="43"/>
        <v>61.559679952918991</v>
      </c>
      <c r="H290" s="36">
        <f t="shared" si="44"/>
        <v>28.372898819993843</v>
      </c>
      <c r="I290" s="37" t="str">
        <f ca="1">+IF(A290 &lt;= $L$2, (Full_Report!C370-'Internal Working'!C290),"")</f>
        <v/>
      </c>
      <c r="J290" s="37" t="str">
        <f t="shared" ca="1" si="38"/>
        <v>0</v>
      </c>
      <c r="K290" s="35">
        <f t="shared" ca="1" si="39"/>
        <v>-9352.9881923829325</v>
      </c>
      <c r="L290" s="35">
        <f t="shared" ca="1" si="37"/>
        <v>-9352.9881923829325</v>
      </c>
      <c r="M290" s="2"/>
    </row>
    <row r="291" spans="1:13" x14ac:dyDescent="0.25">
      <c r="A291" s="1">
        <f>IF(OR(A290="",F290=0,A290=Refinance_Calculator!$C$29),"",A290+1)</f>
        <v>286</v>
      </c>
      <c r="B291" s="3">
        <f t="shared" si="40"/>
        <v>5613.0200840458429</v>
      </c>
      <c r="C291" s="3">
        <f>IF(A291="","",(-PMT(Refinance_Calculator!$C$26/12,Refinance_Calculator!$C$29,Refinance_Calculator!$C$23,0,0)))</f>
        <v>89.932578772912834</v>
      </c>
      <c r="D291" s="3">
        <f t="shared" si="41"/>
        <v>28.06510042022925</v>
      </c>
      <c r="E291" s="3">
        <f>IF(A291="","",(-PPMT(Refinance_Calculator!$C$26/12,'Internal Working'!A291,Refinance_Calculator!$C$29,Refinance_Calculator!$C$23,0,0)))</f>
        <v>61.867478352683584</v>
      </c>
      <c r="F291" s="3">
        <f t="shared" si="42"/>
        <v>5551.1526056931589</v>
      </c>
      <c r="G291" s="5">
        <f t="shared" si="43"/>
        <v>61.867478352683584</v>
      </c>
      <c r="H291" s="36">
        <f t="shared" si="44"/>
        <v>28.06510042022925</v>
      </c>
      <c r="I291" s="37" t="str">
        <f ca="1">+IF(A291 &lt;= $L$2, (Full_Report!C371-'Internal Working'!C291),"")</f>
        <v/>
      </c>
      <c r="J291" s="37" t="str">
        <f t="shared" ca="1" si="38"/>
        <v>0</v>
      </c>
      <c r="K291" s="35">
        <f t="shared" ca="1" si="39"/>
        <v>-9442.9207711558447</v>
      </c>
      <c r="L291" s="35">
        <f t="shared" ca="1" si="37"/>
        <v>-9442.9207711558447</v>
      </c>
      <c r="M291" s="2"/>
    </row>
    <row r="292" spans="1:13" x14ac:dyDescent="0.25">
      <c r="A292" s="1">
        <f>IF(OR(A291="",F291=0,A291=Refinance_Calculator!$C$29),"",A291+1)</f>
        <v>287</v>
      </c>
      <c r="B292" s="3">
        <f t="shared" si="40"/>
        <v>5551.1526056931589</v>
      </c>
      <c r="C292" s="3">
        <f>IF(A292="","",(-PMT(Refinance_Calculator!$C$26/12,Refinance_Calculator!$C$29,Refinance_Calculator!$C$23,0,0)))</f>
        <v>89.932578772912834</v>
      </c>
      <c r="D292" s="3">
        <f t="shared" si="41"/>
        <v>27.755763028465829</v>
      </c>
      <c r="E292" s="3">
        <f>IF(A292="","",(-PPMT(Refinance_Calculator!$C$26/12,'Internal Working'!A292,Refinance_Calculator!$C$29,Refinance_Calculator!$C$23,0,0)))</f>
        <v>62.176815744447005</v>
      </c>
      <c r="F292" s="3">
        <f t="shared" si="42"/>
        <v>5488.9757899487122</v>
      </c>
      <c r="G292" s="5">
        <f t="shared" si="43"/>
        <v>62.176815744447005</v>
      </c>
      <c r="H292" s="36">
        <f t="shared" si="44"/>
        <v>27.755763028465829</v>
      </c>
      <c r="I292" s="37" t="str">
        <f ca="1">+IF(A292 &lt;= $L$2, (Full_Report!C372-'Internal Working'!C292),"")</f>
        <v/>
      </c>
      <c r="J292" s="37" t="str">
        <f t="shared" ca="1" si="38"/>
        <v>0</v>
      </c>
      <c r="K292" s="35">
        <f t="shared" ca="1" si="39"/>
        <v>-9532.8533499287569</v>
      </c>
      <c r="L292" s="35">
        <f t="shared" ca="1" si="37"/>
        <v>-9532.8533499287569</v>
      </c>
      <c r="M292" s="2"/>
    </row>
    <row r="293" spans="1:13" x14ac:dyDescent="0.25">
      <c r="A293" s="1">
        <f>IF(OR(A292="",F292=0,A292=Refinance_Calculator!$C$29),"",A292+1)</f>
        <v>288</v>
      </c>
      <c r="B293" s="3">
        <f t="shared" si="40"/>
        <v>5488.9757899487122</v>
      </c>
      <c r="C293" s="3">
        <f>IF(A293="","",(-PMT(Refinance_Calculator!$C$26/12,Refinance_Calculator!$C$29,Refinance_Calculator!$C$23,0,0)))</f>
        <v>89.932578772912834</v>
      </c>
      <c r="D293" s="3">
        <f t="shared" si="41"/>
        <v>27.44487894974359</v>
      </c>
      <c r="E293" s="3">
        <f>IF(A293="","",(-PPMT(Refinance_Calculator!$C$26/12,'Internal Working'!A293,Refinance_Calculator!$C$29,Refinance_Calculator!$C$23,0,0)))</f>
        <v>62.487699823169244</v>
      </c>
      <c r="F293" s="3">
        <f t="shared" si="42"/>
        <v>5426.4880901255428</v>
      </c>
      <c r="G293" s="5">
        <f t="shared" si="43"/>
        <v>62.487699823169244</v>
      </c>
      <c r="H293" s="36">
        <f t="shared" si="44"/>
        <v>27.44487894974359</v>
      </c>
      <c r="I293" s="37" t="str">
        <f ca="1">+IF(A293 &lt;= $L$2, (Full_Report!C373-'Internal Working'!C293),"")</f>
        <v/>
      </c>
      <c r="J293" s="37" t="str">
        <f t="shared" ca="1" si="38"/>
        <v>0</v>
      </c>
      <c r="K293" s="35">
        <f t="shared" ca="1" si="39"/>
        <v>-9622.785928701669</v>
      </c>
      <c r="L293" s="35">
        <f t="shared" ca="1" si="37"/>
        <v>-9622.785928701669</v>
      </c>
      <c r="M293" s="2"/>
    </row>
    <row r="294" spans="1:13" x14ac:dyDescent="0.25">
      <c r="A294" s="1">
        <f>IF(OR(A293="",F293=0,A293=Refinance_Calculator!$C$29),"",A293+1)</f>
        <v>289</v>
      </c>
      <c r="B294" s="3">
        <f t="shared" si="40"/>
        <v>5426.4880901255428</v>
      </c>
      <c r="C294" s="3">
        <f>IF(A294="","",(-PMT(Refinance_Calculator!$C$26/12,Refinance_Calculator!$C$29,Refinance_Calculator!$C$23,0,0)))</f>
        <v>89.932578772912834</v>
      </c>
      <c r="D294" s="3">
        <f t="shared" si="41"/>
        <v>27.132440450627747</v>
      </c>
      <c r="E294" s="3">
        <f>IF(A294="","",(-PPMT(Refinance_Calculator!$C$26/12,'Internal Working'!A294,Refinance_Calculator!$C$29,Refinance_Calculator!$C$23,0,0)))</f>
        <v>62.800138322285086</v>
      </c>
      <c r="F294" s="3">
        <f t="shared" si="42"/>
        <v>5363.6879518032574</v>
      </c>
      <c r="G294" s="5">
        <f t="shared" si="43"/>
        <v>62.800138322285086</v>
      </c>
      <c r="H294" s="36">
        <f t="shared" si="44"/>
        <v>27.132440450627747</v>
      </c>
      <c r="I294" s="37" t="str">
        <f ca="1">+IF(A294 &lt;= $L$2, (Full_Report!C374-'Internal Working'!C294),"")</f>
        <v/>
      </c>
      <c r="J294" s="37" t="str">
        <f t="shared" ca="1" si="38"/>
        <v>0</v>
      </c>
      <c r="K294" s="35">
        <f t="shared" ca="1" si="39"/>
        <v>-9712.7185074745812</v>
      </c>
      <c r="L294" s="35">
        <f t="shared" ca="1" si="37"/>
        <v>-9712.7185074745812</v>
      </c>
      <c r="M294" s="2"/>
    </row>
    <row r="295" spans="1:13" x14ac:dyDescent="0.25">
      <c r="A295" s="1">
        <f>IF(OR(A294="",F294=0,A294=Refinance_Calculator!$C$29),"",A294+1)</f>
        <v>290</v>
      </c>
      <c r="B295" s="3">
        <f t="shared" si="40"/>
        <v>5363.6879518032574</v>
      </c>
      <c r="C295" s="3">
        <f>IF(A295="","",(-PMT(Refinance_Calculator!$C$26/12,Refinance_Calculator!$C$29,Refinance_Calculator!$C$23,0,0)))</f>
        <v>89.932578772912834</v>
      </c>
      <c r="D295" s="3">
        <f t="shared" si="41"/>
        <v>26.818439759016321</v>
      </c>
      <c r="E295" s="3">
        <f>IF(A295="","",(-PPMT(Refinance_Calculator!$C$26/12,'Internal Working'!A295,Refinance_Calculator!$C$29,Refinance_Calculator!$C$23,0,0)))</f>
        <v>63.114139013896512</v>
      </c>
      <c r="F295" s="3">
        <f t="shared" si="42"/>
        <v>5300.573812789361</v>
      </c>
      <c r="G295" s="5">
        <f t="shared" si="43"/>
        <v>63.114139013896512</v>
      </c>
      <c r="H295" s="36">
        <f t="shared" si="44"/>
        <v>26.818439759016321</v>
      </c>
      <c r="I295" s="37" t="str">
        <f ca="1">+IF(A295 &lt;= $L$2, (Full_Report!C375-'Internal Working'!C295),"")</f>
        <v/>
      </c>
      <c r="J295" s="37" t="str">
        <f t="shared" ca="1" si="38"/>
        <v>0</v>
      </c>
      <c r="K295" s="35">
        <f t="shared" ca="1" si="39"/>
        <v>-9802.6510862474934</v>
      </c>
      <c r="L295" s="35">
        <f t="shared" ca="1" si="37"/>
        <v>-9802.6510862474934</v>
      </c>
      <c r="M295" s="2"/>
    </row>
    <row r="296" spans="1:13" x14ac:dyDescent="0.25">
      <c r="A296" s="1">
        <f>IF(OR(A295="",F295=0,A295=Refinance_Calculator!$C$29),"",A295+1)</f>
        <v>291</v>
      </c>
      <c r="B296" s="3">
        <f t="shared" si="40"/>
        <v>5300.573812789361</v>
      </c>
      <c r="C296" s="3">
        <f>IF(A296="","",(-PMT(Refinance_Calculator!$C$26/12,Refinance_Calculator!$C$29,Refinance_Calculator!$C$23,0,0)))</f>
        <v>89.932578772912834</v>
      </c>
      <c r="D296" s="3">
        <f t="shared" si="41"/>
        <v>26.502869063946839</v>
      </c>
      <c r="E296" s="3">
        <f>IF(A296="","",(-PPMT(Refinance_Calculator!$C$26/12,'Internal Working'!A296,Refinance_Calculator!$C$29,Refinance_Calculator!$C$23,0,0)))</f>
        <v>63.429709708965994</v>
      </c>
      <c r="F296" s="3">
        <f t="shared" si="42"/>
        <v>5237.1441030803953</v>
      </c>
      <c r="G296" s="5">
        <f t="shared" si="43"/>
        <v>63.429709708965994</v>
      </c>
      <c r="H296" s="36">
        <f t="shared" si="44"/>
        <v>26.502869063946839</v>
      </c>
      <c r="I296" s="37" t="str">
        <f ca="1">+IF(A296 &lt;= $L$2, (Full_Report!C376-'Internal Working'!C296),"")</f>
        <v/>
      </c>
      <c r="J296" s="37" t="str">
        <f t="shared" ca="1" si="38"/>
        <v>0</v>
      </c>
      <c r="K296" s="35">
        <f t="shared" ca="1" si="39"/>
        <v>-9892.5836650204055</v>
      </c>
      <c r="L296" s="35">
        <f t="shared" ca="1" si="37"/>
        <v>-9892.5836650204055</v>
      </c>
      <c r="M296" s="2"/>
    </row>
    <row r="297" spans="1:13" x14ac:dyDescent="0.25">
      <c r="A297" s="1">
        <f>IF(OR(A296="",F296=0,A296=Refinance_Calculator!$C$29),"",A296+1)</f>
        <v>292</v>
      </c>
      <c r="B297" s="3">
        <f t="shared" si="40"/>
        <v>5237.1441030803953</v>
      </c>
      <c r="C297" s="3">
        <f>IF(A297="","",(-PMT(Refinance_Calculator!$C$26/12,Refinance_Calculator!$C$29,Refinance_Calculator!$C$23,0,0)))</f>
        <v>89.932578772912834</v>
      </c>
      <c r="D297" s="3">
        <f t="shared" si="41"/>
        <v>26.185720515402011</v>
      </c>
      <c r="E297" s="3">
        <f>IF(A297="","",(-PPMT(Refinance_Calculator!$C$26/12,'Internal Working'!A297,Refinance_Calculator!$C$29,Refinance_Calculator!$C$23,0,0)))</f>
        <v>63.746858257510823</v>
      </c>
      <c r="F297" s="3">
        <f t="shared" si="42"/>
        <v>5173.3972448228842</v>
      </c>
      <c r="G297" s="5">
        <f t="shared" si="43"/>
        <v>63.746858257510823</v>
      </c>
      <c r="H297" s="36">
        <f t="shared" si="44"/>
        <v>26.185720515402011</v>
      </c>
      <c r="I297" s="37" t="str">
        <f ca="1">+IF(A297 &lt;= $L$2, (Full_Report!C377-'Internal Working'!C297),"")</f>
        <v/>
      </c>
      <c r="J297" s="37" t="str">
        <f t="shared" ca="1" si="38"/>
        <v>0</v>
      </c>
      <c r="K297" s="35">
        <f t="shared" ca="1" si="39"/>
        <v>-9982.5162437933177</v>
      </c>
      <c r="L297" s="35">
        <f t="shared" ca="1" si="37"/>
        <v>-9982.5162437933177</v>
      </c>
      <c r="M297" s="2"/>
    </row>
    <row r="298" spans="1:13" x14ac:dyDescent="0.25">
      <c r="A298" s="1">
        <f>IF(OR(A297="",F297=0,A297=Refinance_Calculator!$C$29),"",A297+1)</f>
        <v>293</v>
      </c>
      <c r="B298" s="3">
        <f t="shared" si="40"/>
        <v>5173.3972448228842</v>
      </c>
      <c r="C298" s="3">
        <f>IF(A298="","",(-PMT(Refinance_Calculator!$C$26/12,Refinance_Calculator!$C$29,Refinance_Calculator!$C$23,0,0)))</f>
        <v>89.932578772912834</v>
      </c>
      <c r="D298" s="3">
        <f t="shared" si="41"/>
        <v>25.866986224114456</v>
      </c>
      <c r="E298" s="3">
        <f>IF(A298="","",(-PPMT(Refinance_Calculator!$C$26/12,'Internal Working'!A298,Refinance_Calculator!$C$29,Refinance_Calculator!$C$23,0,0)))</f>
        <v>64.065592548798378</v>
      </c>
      <c r="F298" s="3">
        <f t="shared" si="42"/>
        <v>5109.3316522740861</v>
      </c>
      <c r="G298" s="5">
        <f t="shared" si="43"/>
        <v>64.065592548798378</v>
      </c>
      <c r="H298" s="36">
        <f t="shared" si="44"/>
        <v>25.866986224114456</v>
      </c>
      <c r="I298" s="37" t="str">
        <f ca="1">+IF(A298 &lt;= $L$2, (Full_Report!C378-'Internal Working'!C298),"")</f>
        <v/>
      </c>
      <c r="J298" s="37" t="str">
        <f t="shared" ca="1" si="38"/>
        <v>0</v>
      </c>
      <c r="K298" s="35">
        <f t="shared" ca="1" si="39"/>
        <v>-10072.44882256623</v>
      </c>
      <c r="L298" s="35">
        <f t="shared" ca="1" si="37"/>
        <v>-10072.44882256623</v>
      </c>
      <c r="M298" s="2"/>
    </row>
    <row r="299" spans="1:13" x14ac:dyDescent="0.25">
      <c r="A299" s="1">
        <f>IF(OR(A298="",F298=0,A298=Refinance_Calculator!$C$29),"",A298+1)</f>
        <v>294</v>
      </c>
      <c r="B299" s="3">
        <f t="shared" si="40"/>
        <v>5109.3316522740861</v>
      </c>
      <c r="C299" s="3">
        <f>IF(A299="","",(-PMT(Refinance_Calculator!$C$26/12,Refinance_Calculator!$C$29,Refinance_Calculator!$C$23,0,0)))</f>
        <v>89.932578772912834</v>
      </c>
      <c r="D299" s="3">
        <f t="shared" si="41"/>
        <v>25.546658261370467</v>
      </c>
      <c r="E299" s="3">
        <f>IF(A299="","",(-PPMT(Refinance_Calculator!$C$26/12,'Internal Working'!A299,Refinance_Calculator!$C$29,Refinance_Calculator!$C$23,0,0)))</f>
        <v>64.385920511542366</v>
      </c>
      <c r="F299" s="3">
        <f t="shared" si="42"/>
        <v>5044.9457317625438</v>
      </c>
      <c r="G299" s="5">
        <f t="shared" si="43"/>
        <v>64.385920511542366</v>
      </c>
      <c r="H299" s="36">
        <f t="shared" si="44"/>
        <v>25.546658261370467</v>
      </c>
      <c r="I299" s="37" t="str">
        <f ca="1">+IF(A299 &lt;= $L$2, (Full_Report!C379-'Internal Working'!C299),"")</f>
        <v/>
      </c>
      <c r="J299" s="37" t="str">
        <f t="shared" ca="1" si="38"/>
        <v>0</v>
      </c>
      <c r="K299" s="35">
        <f t="shared" ca="1" si="39"/>
        <v>-10162.381401339142</v>
      </c>
      <c r="L299" s="35">
        <f t="shared" ca="1" si="37"/>
        <v>-10162.381401339142</v>
      </c>
      <c r="M299" s="2"/>
    </row>
    <row r="300" spans="1:13" x14ac:dyDescent="0.25">
      <c r="A300" s="1">
        <f>IF(OR(A299="",F299=0,A299=Refinance_Calculator!$C$29),"",A299+1)</f>
        <v>295</v>
      </c>
      <c r="B300" s="3">
        <f t="shared" si="40"/>
        <v>5044.9457317625438</v>
      </c>
      <c r="C300" s="3">
        <f>IF(A300="","",(-PMT(Refinance_Calculator!$C$26/12,Refinance_Calculator!$C$29,Refinance_Calculator!$C$23,0,0)))</f>
        <v>89.932578772912834</v>
      </c>
      <c r="D300" s="3">
        <f t="shared" si="41"/>
        <v>25.224728658812751</v>
      </c>
      <c r="E300" s="3">
        <f>IF(A300="","",(-PPMT(Refinance_Calculator!$C$26/12,'Internal Working'!A300,Refinance_Calculator!$C$29,Refinance_Calculator!$C$23,0,0)))</f>
        <v>64.707850114100083</v>
      </c>
      <c r="F300" s="3">
        <f t="shared" si="42"/>
        <v>4980.2378816484434</v>
      </c>
      <c r="G300" s="5">
        <f t="shared" si="43"/>
        <v>64.707850114100083</v>
      </c>
      <c r="H300" s="36">
        <f t="shared" si="44"/>
        <v>25.224728658812751</v>
      </c>
      <c r="I300" s="37" t="str">
        <f ca="1">+IF(A300 &lt;= $L$2, (Full_Report!C380-'Internal Working'!C300),"")</f>
        <v/>
      </c>
      <c r="J300" s="37" t="str">
        <f t="shared" ca="1" si="38"/>
        <v>0</v>
      </c>
      <c r="K300" s="35">
        <f t="shared" ca="1" si="39"/>
        <v>-10252.313980112054</v>
      </c>
      <c r="L300" s="35">
        <f t="shared" ca="1" si="37"/>
        <v>-10252.313980112054</v>
      </c>
      <c r="M300" s="2"/>
    </row>
    <row r="301" spans="1:13" x14ac:dyDescent="0.25">
      <c r="A301" s="1">
        <f>IF(OR(A300="",F300=0,A300=Refinance_Calculator!$C$29),"",A300+1)</f>
        <v>296</v>
      </c>
      <c r="B301" s="3">
        <f t="shared" si="40"/>
        <v>4980.2378816484434</v>
      </c>
      <c r="C301" s="3">
        <f>IF(A301="","",(-PMT(Refinance_Calculator!$C$26/12,Refinance_Calculator!$C$29,Refinance_Calculator!$C$23,0,0)))</f>
        <v>89.932578772912834</v>
      </c>
      <c r="D301" s="3">
        <f t="shared" si="41"/>
        <v>24.901189408242246</v>
      </c>
      <c r="E301" s="3">
        <f>IF(A301="","",(-PPMT(Refinance_Calculator!$C$26/12,'Internal Working'!A301,Refinance_Calculator!$C$29,Refinance_Calculator!$C$23,0,0)))</f>
        <v>65.031389364670588</v>
      </c>
      <c r="F301" s="3">
        <f t="shared" si="42"/>
        <v>4915.2064922837726</v>
      </c>
      <c r="G301" s="5">
        <f t="shared" si="43"/>
        <v>65.031389364670588</v>
      </c>
      <c r="H301" s="36">
        <f t="shared" si="44"/>
        <v>24.901189408242246</v>
      </c>
      <c r="I301" s="37" t="str">
        <f ca="1">+IF(A301 &lt;= $L$2, (Full_Report!C381-'Internal Working'!C301),"")</f>
        <v/>
      </c>
      <c r="J301" s="37" t="str">
        <f t="shared" ca="1" si="38"/>
        <v>0</v>
      </c>
      <c r="K301" s="35">
        <f t="shared" ca="1" si="39"/>
        <v>-10342.246558884966</v>
      </c>
      <c r="L301" s="35">
        <f t="shared" ca="1" si="37"/>
        <v>-10342.246558884966</v>
      </c>
      <c r="M301" s="2"/>
    </row>
    <row r="302" spans="1:13" x14ac:dyDescent="0.25">
      <c r="A302" s="1">
        <f>IF(OR(A301="",F301=0,A301=Refinance_Calculator!$C$29),"",A301+1)</f>
        <v>297</v>
      </c>
      <c r="B302" s="3">
        <f t="shared" si="40"/>
        <v>4915.2064922837726</v>
      </c>
      <c r="C302" s="3">
        <f>IF(A302="","",(-PMT(Refinance_Calculator!$C$26/12,Refinance_Calculator!$C$29,Refinance_Calculator!$C$23,0,0)))</f>
        <v>89.932578772912834</v>
      </c>
      <c r="D302" s="3">
        <f t="shared" si="41"/>
        <v>24.576032461418905</v>
      </c>
      <c r="E302" s="3">
        <f>IF(A302="","",(-PPMT(Refinance_Calculator!$C$26/12,'Internal Working'!A302,Refinance_Calculator!$C$29,Refinance_Calculator!$C$23,0,0)))</f>
        <v>65.356546311493929</v>
      </c>
      <c r="F302" s="3">
        <f t="shared" si="42"/>
        <v>4849.8499459722789</v>
      </c>
      <c r="G302" s="5">
        <f t="shared" si="43"/>
        <v>65.356546311493929</v>
      </c>
      <c r="H302" s="36">
        <f t="shared" si="44"/>
        <v>24.576032461418905</v>
      </c>
      <c r="I302" s="37" t="str">
        <f ca="1">+IF(A302 &lt;= $L$2, (Full_Report!C382-'Internal Working'!C302),"")</f>
        <v/>
      </c>
      <c r="J302" s="37" t="str">
        <f t="shared" ca="1" si="38"/>
        <v>0</v>
      </c>
      <c r="K302" s="35">
        <f t="shared" ca="1" si="39"/>
        <v>-10432.179137657879</v>
      </c>
      <c r="L302" s="35">
        <f t="shared" ca="1" si="37"/>
        <v>-10432.179137657879</v>
      </c>
      <c r="M302" s="2"/>
    </row>
    <row r="303" spans="1:13" x14ac:dyDescent="0.25">
      <c r="A303" s="1">
        <f>IF(OR(A302="",F302=0,A302=Refinance_Calculator!$C$29),"",A302+1)</f>
        <v>298</v>
      </c>
      <c r="B303" s="3">
        <f t="shared" si="40"/>
        <v>4849.8499459722789</v>
      </c>
      <c r="C303" s="3">
        <f>IF(A303="","",(-PMT(Refinance_Calculator!$C$26/12,Refinance_Calculator!$C$29,Refinance_Calculator!$C$23,0,0)))</f>
        <v>89.932578772912834</v>
      </c>
      <c r="D303" s="3">
        <f t="shared" si="41"/>
        <v>24.249249729861418</v>
      </c>
      <c r="E303" s="3">
        <f>IF(A303="","",(-PPMT(Refinance_Calculator!$C$26/12,'Internal Working'!A303,Refinance_Calculator!$C$29,Refinance_Calculator!$C$23,0,0)))</f>
        <v>65.683329043051415</v>
      </c>
      <c r="F303" s="3">
        <f t="shared" si="42"/>
        <v>4784.1666169292275</v>
      </c>
      <c r="G303" s="5">
        <f t="shared" si="43"/>
        <v>65.683329043051415</v>
      </c>
      <c r="H303" s="36">
        <f t="shared" si="44"/>
        <v>24.249249729861418</v>
      </c>
      <c r="I303" s="37" t="str">
        <f ca="1">+IF(A303 &lt;= $L$2, (Full_Report!C383-'Internal Working'!C303),"")</f>
        <v/>
      </c>
      <c r="J303" s="37" t="str">
        <f t="shared" ca="1" si="38"/>
        <v>0</v>
      </c>
      <c r="K303" s="35">
        <f t="shared" ca="1" si="39"/>
        <v>-10522.111716430791</v>
      </c>
      <c r="L303" s="35">
        <f t="shared" ca="1" si="37"/>
        <v>-10522.111716430791</v>
      </c>
      <c r="M303" s="2"/>
    </row>
    <row r="304" spans="1:13" x14ac:dyDescent="0.25">
      <c r="A304" s="1">
        <f>IF(OR(A303="",F303=0,A303=Refinance_Calculator!$C$29),"",A303+1)</f>
        <v>299</v>
      </c>
      <c r="B304" s="3">
        <f t="shared" si="40"/>
        <v>4784.1666169292275</v>
      </c>
      <c r="C304" s="3">
        <f>IF(A304="","",(-PMT(Refinance_Calculator!$C$26/12,Refinance_Calculator!$C$29,Refinance_Calculator!$C$23,0,0)))</f>
        <v>89.932578772912834</v>
      </c>
      <c r="D304" s="3">
        <f t="shared" si="41"/>
        <v>23.920833084646162</v>
      </c>
      <c r="E304" s="3">
        <f>IF(A304="","",(-PPMT(Refinance_Calculator!$C$26/12,'Internal Working'!A304,Refinance_Calculator!$C$29,Refinance_Calculator!$C$23,0,0)))</f>
        <v>66.011745688266672</v>
      </c>
      <c r="F304" s="3">
        <f t="shared" si="42"/>
        <v>4718.1548712409613</v>
      </c>
      <c r="G304" s="5">
        <f t="shared" si="43"/>
        <v>66.011745688266672</v>
      </c>
      <c r="H304" s="36">
        <f t="shared" si="44"/>
        <v>23.920833084646162</v>
      </c>
      <c r="I304" s="37" t="str">
        <f ca="1">+IF(A304 &lt;= $L$2, (Full_Report!C384-'Internal Working'!C304),"")</f>
        <v/>
      </c>
      <c r="J304" s="37" t="str">
        <f t="shared" ca="1" si="38"/>
        <v>0</v>
      </c>
      <c r="K304" s="35">
        <f t="shared" ca="1" si="39"/>
        <v>-10612.044295203703</v>
      </c>
      <c r="L304" s="35">
        <f t="shared" ca="1" si="37"/>
        <v>-10612.044295203703</v>
      </c>
      <c r="M304" s="2"/>
    </row>
    <row r="305" spans="1:13" x14ac:dyDescent="0.25">
      <c r="A305" s="1">
        <f>IF(OR(A304="",F304=0,A304=Refinance_Calculator!$C$29),"",A304+1)</f>
        <v>300</v>
      </c>
      <c r="B305" s="3">
        <f t="shared" si="40"/>
        <v>4718.1548712409613</v>
      </c>
      <c r="C305" s="3">
        <f>IF(A305="","",(-PMT(Refinance_Calculator!$C$26/12,Refinance_Calculator!$C$29,Refinance_Calculator!$C$23,0,0)))</f>
        <v>89.932578772912834</v>
      </c>
      <c r="D305" s="3">
        <f t="shared" si="41"/>
        <v>23.590774356204847</v>
      </c>
      <c r="E305" s="3">
        <f>IF(A305="","",(-PPMT(Refinance_Calculator!$C$26/12,'Internal Working'!A305,Refinance_Calculator!$C$29,Refinance_Calculator!$C$23,0,0)))</f>
        <v>66.341804416707987</v>
      </c>
      <c r="F305" s="3">
        <f t="shared" si="42"/>
        <v>4651.8130668242529</v>
      </c>
      <c r="G305" s="5">
        <f t="shared" si="43"/>
        <v>66.341804416707987</v>
      </c>
      <c r="H305" s="36">
        <f t="shared" si="44"/>
        <v>23.590774356204847</v>
      </c>
      <c r="I305" s="37" t="str">
        <f ca="1">+IF(A305 &lt;= $L$2, (Full_Report!C385-'Internal Working'!C305),"")</f>
        <v/>
      </c>
      <c r="J305" s="37" t="str">
        <f t="shared" ca="1" si="38"/>
        <v>0</v>
      </c>
      <c r="K305" s="35">
        <f t="shared" ca="1" si="39"/>
        <v>-10701.976873976615</v>
      </c>
      <c r="L305" s="35">
        <f t="shared" ca="1" si="37"/>
        <v>-10701.976873976615</v>
      </c>
      <c r="M305" s="2"/>
    </row>
    <row r="306" spans="1:13" x14ac:dyDescent="0.25">
      <c r="A306" s="1">
        <f>IF(OR(A305="",F305=0,A305=Refinance_Calculator!$C$29),"",A305+1)</f>
        <v>301</v>
      </c>
      <c r="B306" s="3">
        <f t="shared" si="40"/>
        <v>4651.8130668242529</v>
      </c>
      <c r="C306" s="3">
        <f>IF(A306="","",(-PMT(Refinance_Calculator!$C$26/12,Refinance_Calculator!$C$29,Refinance_Calculator!$C$23,0,0)))</f>
        <v>89.932578772912834</v>
      </c>
      <c r="D306" s="3">
        <f t="shared" si="41"/>
        <v>23.259065334121303</v>
      </c>
      <c r="E306" s="3">
        <f>IF(A306="","",(-PPMT(Refinance_Calculator!$C$26/12,'Internal Working'!A306,Refinance_Calculator!$C$29,Refinance_Calculator!$C$23,0,0)))</f>
        <v>66.673513438791531</v>
      </c>
      <c r="F306" s="3">
        <f t="shared" si="42"/>
        <v>4585.1395533854611</v>
      </c>
      <c r="G306" s="5">
        <f t="shared" si="43"/>
        <v>66.673513438791531</v>
      </c>
      <c r="H306" s="36">
        <f t="shared" si="44"/>
        <v>23.259065334121303</v>
      </c>
      <c r="I306" s="37" t="str">
        <f ca="1">+IF(A306 &lt;= $L$2, (Full_Report!C386-'Internal Working'!C306),"")</f>
        <v/>
      </c>
      <c r="J306" s="37" t="str">
        <f t="shared" ca="1" si="38"/>
        <v>0</v>
      </c>
      <c r="K306" s="35">
        <f t="shared" ca="1" si="39"/>
        <v>-10791.909452749527</v>
      </c>
      <c r="L306" s="35">
        <f t="shared" ca="1" si="37"/>
        <v>-10791.909452749527</v>
      </c>
      <c r="M306" s="2"/>
    </row>
    <row r="307" spans="1:13" x14ac:dyDescent="0.25">
      <c r="A307" s="1">
        <f>IF(OR(A306="",F306=0,A306=Refinance_Calculator!$C$29),"",A306+1)</f>
        <v>302</v>
      </c>
      <c r="B307" s="3">
        <f t="shared" si="40"/>
        <v>4585.1395533854611</v>
      </c>
      <c r="C307" s="3">
        <f>IF(A307="","",(-PMT(Refinance_Calculator!$C$26/12,Refinance_Calculator!$C$29,Refinance_Calculator!$C$23,0,0)))</f>
        <v>89.932578772912834</v>
      </c>
      <c r="D307" s="3">
        <f t="shared" si="41"/>
        <v>22.925697766927343</v>
      </c>
      <c r="E307" s="3">
        <f>IF(A307="","",(-PPMT(Refinance_Calculator!$C$26/12,'Internal Working'!A307,Refinance_Calculator!$C$29,Refinance_Calculator!$C$23,0,0)))</f>
        <v>67.006881005985491</v>
      </c>
      <c r="F307" s="3">
        <f t="shared" si="42"/>
        <v>4518.1326723794755</v>
      </c>
      <c r="G307" s="5">
        <f t="shared" si="43"/>
        <v>67.006881005985491</v>
      </c>
      <c r="H307" s="36">
        <f t="shared" si="44"/>
        <v>22.925697766927343</v>
      </c>
      <c r="I307" s="37" t="str">
        <f ca="1">+IF(A307 &lt;= $L$2, (Full_Report!C387-'Internal Working'!C307),"")</f>
        <v/>
      </c>
      <c r="J307" s="37" t="str">
        <f t="shared" ca="1" si="38"/>
        <v>0</v>
      </c>
      <c r="K307" s="35">
        <f t="shared" ca="1" si="39"/>
        <v>-10881.842031522439</v>
      </c>
      <c r="L307" s="35">
        <f t="shared" ca="1" si="37"/>
        <v>-10881.842031522439</v>
      </c>
      <c r="M307" s="2"/>
    </row>
    <row r="308" spans="1:13" x14ac:dyDescent="0.25">
      <c r="A308" s="1">
        <f>IF(OR(A307="",F307=0,A307=Refinance_Calculator!$C$29),"",A307+1)</f>
        <v>303</v>
      </c>
      <c r="B308" s="3">
        <f t="shared" si="40"/>
        <v>4518.1326723794755</v>
      </c>
      <c r="C308" s="3">
        <f>IF(A308="","",(-PMT(Refinance_Calculator!$C$26/12,Refinance_Calculator!$C$29,Refinance_Calculator!$C$23,0,0)))</f>
        <v>89.932578772912834</v>
      </c>
      <c r="D308" s="3">
        <f t="shared" si="41"/>
        <v>22.590663361897413</v>
      </c>
      <c r="E308" s="3">
        <f>IF(A308="","",(-PPMT(Refinance_Calculator!$C$26/12,'Internal Working'!A308,Refinance_Calculator!$C$29,Refinance_Calculator!$C$23,0,0)))</f>
        <v>67.341915411015421</v>
      </c>
      <c r="F308" s="3">
        <f t="shared" si="42"/>
        <v>4450.7907569684603</v>
      </c>
      <c r="G308" s="5">
        <f t="shared" si="43"/>
        <v>67.341915411015421</v>
      </c>
      <c r="H308" s="36">
        <f t="shared" si="44"/>
        <v>22.590663361897413</v>
      </c>
      <c r="I308" s="37" t="str">
        <f ca="1">+IF(A308 &lt;= $L$2, (Full_Report!C388-'Internal Working'!C308),"")</f>
        <v/>
      </c>
      <c r="J308" s="37" t="str">
        <f t="shared" ca="1" si="38"/>
        <v>0</v>
      </c>
      <c r="K308" s="35">
        <f t="shared" ca="1" si="39"/>
        <v>-10971.774610295352</v>
      </c>
      <c r="L308" s="35">
        <f t="shared" ca="1" si="37"/>
        <v>-10971.774610295352</v>
      </c>
      <c r="M308" s="2"/>
    </row>
    <row r="309" spans="1:13" x14ac:dyDescent="0.25">
      <c r="A309" s="1">
        <f>IF(OR(A308="",F308=0,A308=Refinance_Calculator!$C$29),"",A308+1)</f>
        <v>304</v>
      </c>
      <c r="B309" s="3">
        <f t="shared" si="40"/>
        <v>4450.7907569684603</v>
      </c>
      <c r="C309" s="3">
        <f>IF(A309="","",(-PMT(Refinance_Calculator!$C$26/12,Refinance_Calculator!$C$29,Refinance_Calculator!$C$23,0,0)))</f>
        <v>89.932578772912834</v>
      </c>
      <c r="D309" s="3">
        <f t="shared" si="41"/>
        <v>22.253953784842352</v>
      </c>
      <c r="E309" s="3">
        <f>IF(A309="","",(-PPMT(Refinance_Calculator!$C$26/12,'Internal Working'!A309,Refinance_Calculator!$C$29,Refinance_Calculator!$C$23,0,0)))</f>
        <v>67.678624988070482</v>
      </c>
      <c r="F309" s="3">
        <f t="shared" si="42"/>
        <v>4383.1121319803897</v>
      </c>
      <c r="G309" s="5">
        <f t="shared" si="43"/>
        <v>67.678624988070482</v>
      </c>
      <c r="H309" s="36">
        <f t="shared" si="44"/>
        <v>22.253953784842352</v>
      </c>
      <c r="I309" s="37" t="str">
        <f ca="1">+IF(A309 &lt;= $L$2, (Full_Report!C389-'Internal Working'!C309),"")</f>
        <v/>
      </c>
      <c r="J309" s="37" t="str">
        <f t="shared" ca="1" si="38"/>
        <v>0</v>
      </c>
      <c r="K309" s="35">
        <f t="shared" ca="1" si="39"/>
        <v>-11061.707189068264</v>
      </c>
      <c r="L309" s="35">
        <f t="shared" ca="1" si="37"/>
        <v>-11061.707189068264</v>
      </c>
      <c r="M309" s="2"/>
    </row>
    <row r="310" spans="1:13" x14ac:dyDescent="0.25">
      <c r="A310" s="1">
        <f>IF(OR(A309="",F309=0,A309=Refinance_Calculator!$C$29),"",A309+1)</f>
        <v>305</v>
      </c>
      <c r="B310" s="3">
        <f t="shared" si="40"/>
        <v>4383.1121319803897</v>
      </c>
      <c r="C310" s="3">
        <f>IF(A310="","",(-PMT(Refinance_Calculator!$C$26/12,Refinance_Calculator!$C$29,Refinance_Calculator!$C$23,0,0)))</f>
        <v>89.932578772912834</v>
      </c>
      <c r="D310" s="3">
        <f t="shared" si="41"/>
        <v>21.915560659901985</v>
      </c>
      <c r="E310" s="3">
        <f>IF(A310="","",(-PPMT(Refinance_Calculator!$C$26/12,'Internal Working'!A310,Refinance_Calculator!$C$29,Refinance_Calculator!$C$23,0,0)))</f>
        <v>68.017018113010849</v>
      </c>
      <c r="F310" s="3">
        <f t="shared" si="42"/>
        <v>4315.095113867379</v>
      </c>
      <c r="G310" s="5">
        <f t="shared" si="43"/>
        <v>68.017018113010849</v>
      </c>
      <c r="H310" s="36">
        <f t="shared" si="44"/>
        <v>21.915560659901985</v>
      </c>
      <c r="I310" s="37" t="str">
        <f ca="1">+IF(A310 &lt;= $L$2, (Full_Report!C390-'Internal Working'!C310),"")</f>
        <v/>
      </c>
      <c r="J310" s="37" t="str">
        <f t="shared" ca="1" si="38"/>
        <v>0</v>
      </c>
      <c r="K310" s="35">
        <f t="shared" ca="1" si="39"/>
        <v>-11151.639767841176</v>
      </c>
      <c r="L310" s="35">
        <f t="shared" ca="1" si="37"/>
        <v>-11151.639767841176</v>
      </c>
      <c r="M310" s="2"/>
    </row>
    <row r="311" spans="1:13" x14ac:dyDescent="0.25">
      <c r="A311" s="1">
        <f>IF(OR(A310="",F310=0,A310=Refinance_Calculator!$C$29),"",A310+1)</f>
        <v>306</v>
      </c>
      <c r="B311" s="3">
        <f t="shared" si="40"/>
        <v>4315.095113867379</v>
      </c>
      <c r="C311" s="3">
        <f>IF(A311="","",(-PMT(Refinance_Calculator!$C$26/12,Refinance_Calculator!$C$29,Refinance_Calculator!$C$23,0,0)))</f>
        <v>89.932578772912834</v>
      </c>
      <c r="D311" s="3">
        <f t="shared" si="41"/>
        <v>21.57547556933693</v>
      </c>
      <c r="E311" s="3">
        <f>IF(A311="","",(-PPMT(Refinance_Calculator!$C$26/12,'Internal Working'!A311,Refinance_Calculator!$C$29,Refinance_Calculator!$C$23,0,0)))</f>
        <v>68.357103203575903</v>
      </c>
      <c r="F311" s="3">
        <f t="shared" si="42"/>
        <v>4246.7380106638029</v>
      </c>
      <c r="G311" s="5">
        <f t="shared" si="43"/>
        <v>68.357103203575903</v>
      </c>
      <c r="H311" s="36">
        <f t="shared" si="44"/>
        <v>21.57547556933693</v>
      </c>
      <c r="I311" s="37" t="str">
        <f ca="1">+IF(A311 &lt;= $L$2, (Full_Report!C391-'Internal Working'!C311),"")</f>
        <v/>
      </c>
      <c r="J311" s="37" t="str">
        <f t="shared" ca="1" si="38"/>
        <v>0</v>
      </c>
      <c r="K311" s="35">
        <f t="shared" ca="1" si="39"/>
        <v>-11241.572346614088</v>
      </c>
      <c r="L311" s="35">
        <f t="shared" ca="1" si="37"/>
        <v>-11241.572346614088</v>
      </c>
      <c r="M311" s="2"/>
    </row>
    <row r="312" spans="1:13" x14ac:dyDescent="0.25">
      <c r="A312" s="1">
        <f>IF(OR(A311="",F311=0,A311=Refinance_Calculator!$C$29),"",A311+1)</f>
        <v>307</v>
      </c>
      <c r="B312" s="3">
        <f t="shared" si="40"/>
        <v>4246.7380106638029</v>
      </c>
      <c r="C312" s="3">
        <f>IF(A312="","",(-PMT(Refinance_Calculator!$C$26/12,Refinance_Calculator!$C$29,Refinance_Calculator!$C$23,0,0)))</f>
        <v>89.932578772912834</v>
      </c>
      <c r="D312" s="3">
        <f t="shared" si="41"/>
        <v>21.233690053319052</v>
      </c>
      <c r="E312" s="3">
        <f>IF(A312="","",(-PPMT(Refinance_Calculator!$C$26/12,'Internal Working'!A312,Refinance_Calculator!$C$29,Refinance_Calculator!$C$23,0,0)))</f>
        <v>68.698888719593782</v>
      </c>
      <c r="F312" s="3">
        <f t="shared" si="42"/>
        <v>4178.039121944209</v>
      </c>
      <c r="G312" s="5">
        <f t="shared" si="43"/>
        <v>68.698888719593782</v>
      </c>
      <c r="H312" s="36">
        <f t="shared" si="44"/>
        <v>21.233690053319052</v>
      </c>
      <c r="I312" s="37" t="str">
        <f ca="1">+IF(A312 &lt;= $L$2, (Full_Report!C392-'Internal Working'!C312),"")</f>
        <v/>
      </c>
      <c r="J312" s="37" t="str">
        <f t="shared" ca="1" si="38"/>
        <v>0</v>
      </c>
      <c r="K312" s="35">
        <f t="shared" ca="1" si="39"/>
        <v>-11331.504925387</v>
      </c>
      <c r="L312" s="35">
        <f t="shared" ca="1" si="37"/>
        <v>-11331.504925387</v>
      </c>
      <c r="M312" s="2"/>
    </row>
    <row r="313" spans="1:13" x14ac:dyDescent="0.25">
      <c r="A313" s="1">
        <f>IF(OR(A312="",F312=0,A312=Refinance_Calculator!$C$29),"",A312+1)</f>
        <v>308</v>
      </c>
      <c r="B313" s="3">
        <f t="shared" si="40"/>
        <v>4178.039121944209</v>
      </c>
      <c r="C313" s="3">
        <f>IF(A313="","",(-PMT(Refinance_Calculator!$C$26/12,Refinance_Calculator!$C$29,Refinance_Calculator!$C$23,0,0)))</f>
        <v>89.932578772912834</v>
      </c>
      <c r="D313" s="3">
        <f t="shared" si="41"/>
        <v>20.89019560972109</v>
      </c>
      <c r="E313" s="3">
        <f>IF(A313="","",(-PPMT(Refinance_Calculator!$C$26/12,'Internal Working'!A313,Refinance_Calculator!$C$29,Refinance_Calculator!$C$23,0,0)))</f>
        <v>69.042383163191744</v>
      </c>
      <c r="F313" s="3">
        <f t="shared" si="42"/>
        <v>4108.9967387810175</v>
      </c>
      <c r="G313" s="5">
        <f t="shared" si="43"/>
        <v>69.042383163191744</v>
      </c>
      <c r="H313" s="36">
        <f t="shared" si="44"/>
        <v>20.89019560972109</v>
      </c>
      <c r="I313" s="37" t="str">
        <f ca="1">+IF(A313 &lt;= $L$2, (Full_Report!C393-'Internal Working'!C313),"")</f>
        <v/>
      </c>
      <c r="J313" s="37" t="str">
        <f t="shared" ca="1" si="38"/>
        <v>0</v>
      </c>
      <c r="K313" s="35">
        <f t="shared" ca="1" si="39"/>
        <v>-11421.437504159912</v>
      </c>
      <c r="L313" s="35">
        <f t="shared" ca="1" si="37"/>
        <v>-11421.437504159912</v>
      </c>
      <c r="M313" s="2"/>
    </row>
    <row r="314" spans="1:13" x14ac:dyDescent="0.25">
      <c r="A314" s="1">
        <f>IF(OR(A313="",F313=0,A313=Refinance_Calculator!$C$29),"",A313+1)</f>
        <v>309</v>
      </c>
      <c r="B314" s="3">
        <f t="shared" si="40"/>
        <v>4108.9967387810175</v>
      </c>
      <c r="C314" s="3">
        <f>IF(A314="","",(-PMT(Refinance_Calculator!$C$26/12,Refinance_Calculator!$C$29,Refinance_Calculator!$C$23,0,0)))</f>
        <v>89.932578772912834</v>
      </c>
      <c r="D314" s="3">
        <f t="shared" si="41"/>
        <v>20.544983693905124</v>
      </c>
      <c r="E314" s="3">
        <f>IF(A314="","",(-PPMT(Refinance_Calculator!$C$26/12,'Internal Working'!A314,Refinance_Calculator!$C$29,Refinance_Calculator!$C$23,0,0)))</f>
        <v>69.38759507900771</v>
      </c>
      <c r="F314" s="3">
        <f t="shared" si="42"/>
        <v>4039.60914370201</v>
      </c>
      <c r="G314" s="5">
        <f t="shared" si="43"/>
        <v>69.38759507900771</v>
      </c>
      <c r="H314" s="36">
        <f t="shared" si="44"/>
        <v>20.544983693905124</v>
      </c>
      <c r="I314" s="37" t="str">
        <f ca="1">+IF(A314 &lt;= $L$2, (Full_Report!C394-'Internal Working'!C314),"")</f>
        <v/>
      </c>
      <c r="J314" s="37" t="str">
        <f t="shared" ca="1" si="38"/>
        <v>0</v>
      </c>
      <c r="K314" s="35">
        <f t="shared" ca="1" si="39"/>
        <v>-11511.370082932825</v>
      </c>
      <c r="L314" s="35">
        <f t="shared" ca="1" si="37"/>
        <v>-11511.370082932825</v>
      </c>
      <c r="M314" s="2"/>
    </row>
    <row r="315" spans="1:13" x14ac:dyDescent="0.25">
      <c r="A315" s="1">
        <f>IF(OR(A314="",F314=0,A314=Refinance_Calculator!$C$29),"",A314+1)</f>
        <v>310</v>
      </c>
      <c r="B315" s="3">
        <f t="shared" si="40"/>
        <v>4039.60914370201</v>
      </c>
      <c r="C315" s="3">
        <f>IF(A315="","",(-PMT(Refinance_Calculator!$C$26/12,Refinance_Calculator!$C$29,Refinance_Calculator!$C$23,0,0)))</f>
        <v>89.932578772912834</v>
      </c>
      <c r="D315" s="3">
        <f t="shared" si="41"/>
        <v>20.198045718510073</v>
      </c>
      <c r="E315" s="3">
        <f>IF(A315="","",(-PPMT(Refinance_Calculator!$C$26/12,'Internal Working'!A315,Refinance_Calculator!$C$29,Refinance_Calculator!$C$23,0,0)))</f>
        <v>69.73453305440276</v>
      </c>
      <c r="F315" s="3">
        <f t="shared" si="42"/>
        <v>3969.8746106476074</v>
      </c>
      <c r="G315" s="5">
        <f t="shared" si="43"/>
        <v>69.73453305440276</v>
      </c>
      <c r="H315" s="36">
        <f t="shared" si="44"/>
        <v>20.198045718510073</v>
      </c>
      <c r="I315" s="37" t="str">
        <f ca="1">+IF(A315 &lt;= $L$2, (Full_Report!C395-'Internal Working'!C315),"")</f>
        <v/>
      </c>
      <c r="J315" s="37" t="str">
        <f t="shared" ca="1" si="38"/>
        <v>0</v>
      </c>
      <c r="K315" s="35">
        <f t="shared" ca="1" si="39"/>
        <v>-11601.302661705737</v>
      </c>
      <c r="L315" s="35">
        <f t="shared" ca="1" si="37"/>
        <v>-11601.302661705737</v>
      </c>
      <c r="M315" s="2"/>
    </row>
    <row r="316" spans="1:13" x14ac:dyDescent="0.25">
      <c r="A316" s="1">
        <f>IF(OR(A315="",F315=0,A315=Refinance_Calculator!$C$29),"",A315+1)</f>
        <v>311</v>
      </c>
      <c r="B316" s="3">
        <f t="shared" si="40"/>
        <v>3969.8746106476074</v>
      </c>
      <c r="C316" s="3">
        <f>IF(A316="","",(-PMT(Refinance_Calculator!$C$26/12,Refinance_Calculator!$C$29,Refinance_Calculator!$C$23,0,0)))</f>
        <v>89.932578772912834</v>
      </c>
      <c r="D316" s="3">
        <f t="shared" si="41"/>
        <v>19.849373053238068</v>
      </c>
      <c r="E316" s="3">
        <f>IF(A316="","",(-PPMT(Refinance_Calculator!$C$26/12,'Internal Working'!A316,Refinance_Calculator!$C$29,Refinance_Calculator!$C$23,0,0)))</f>
        <v>70.083205719674766</v>
      </c>
      <c r="F316" s="3">
        <f t="shared" si="42"/>
        <v>3899.7914049279325</v>
      </c>
      <c r="G316" s="5">
        <f t="shared" si="43"/>
        <v>70.083205719674766</v>
      </c>
      <c r="H316" s="36">
        <f t="shared" si="44"/>
        <v>19.849373053238068</v>
      </c>
      <c r="I316" s="37" t="str">
        <f ca="1">+IF(A316 &lt;= $L$2, (Full_Report!C396-'Internal Working'!C316),"")</f>
        <v/>
      </c>
      <c r="J316" s="37" t="str">
        <f t="shared" ca="1" si="38"/>
        <v>0</v>
      </c>
      <c r="K316" s="35">
        <f t="shared" ca="1" si="39"/>
        <v>-11691.235240478649</v>
      </c>
      <c r="L316" s="35">
        <f t="shared" ca="1" si="37"/>
        <v>-11691.235240478649</v>
      </c>
      <c r="M316" s="2"/>
    </row>
    <row r="317" spans="1:13" x14ac:dyDescent="0.25">
      <c r="A317" s="1">
        <f>IF(OR(A316="",F316=0,A316=Refinance_Calculator!$C$29),"",A316+1)</f>
        <v>312</v>
      </c>
      <c r="B317" s="3">
        <f t="shared" si="40"/>
        <v>3899.7914049279325</v>
      </c>
      <c r="C317" s="3">
        <f>IF(A317="","",(-PMT(Refinance_Calculator!$C$26/12,Refinance_Calculator!$C$29,Refinance_Calculator!$C$23,0,0)))</f>
        <v>89.932578772912834</v>
      </c>
      <c r="D317" s="3">
        <f t="shared" si="41"/>
        <v>19.498957024639694</v>
      </c>
      <c r="E317" s="3">
        <f>IF(A317="","",(-PPMT(Refinance_Calculator!$C$26/12,'Internal Working'!A317,Refinance_Calculator!$C$29,Refinance_Calculator!$C$23,0,0)))</f>
        <v>70.43362174827314</v>
      </c>
      <c r="F317" s="3">
        <f t="shared" si="42"/>
        <v>3829.3577831796592</v>
      </c>
      <c r="G317" s="5">
        <f t="shared" si="43"/>
        <v>70.43362174827314</v>
      </c>
      <c r="H317" s="36">
        <f t="shared" si="44"/>
        <v>19.498957024639694</v>
      </c>
      <c r="I317" s="37" t="str">
        <f ca="1">+IF(A317 &lt;= $L$2, (Full_Report!C397-'Internal Working'!C317),"")</f>
        <v/>
      </c>
      <c r="J317" s="37" t="str">
        <f t="shared" ca="1" si="38"/>
        <v>0</v>
      </c>
      <c r="K317" s="35">
        <f t="shared" ca="1" si="39"/>
        <v>-11781.167819251561</v>
      </c>
      <c r="L317" s="35">
        <f t="shared" ca="1" si="37"/>
        <v>-11781.167819251561</v>
      </c>
      <c r="M317" s="2"/>
    </row>
    <row r="318" spans="1:13" x14ac:dyDescent="0.25">
      <c r="A318" s="1">
        <f>IF(OR(A317="",F317=0,A317=Refinance_Calculator!$C$29),"",A317+1)</f>
        <v>313</v>
      </c>
      <c r="B318" s="3">
        <f t="shared" si="40"/>
        <v>3829.3577831796592</v>
      </c>
      <c r="C318" s="3">
        <f>IF(A318="","",(-PMT(Refinance_Calculator!$C$26/12,Refinance_Calculator!$C$29,Refinance_Calculator!$C$23,0,0)))</f>
        <v>89.932578772912834</v>
      </c>
      <c r="D318" s="3">
        <f t="shared" si="41"/>
        <v>19.146788915898327</v>
      </c>
      <c r="E318" s="3">
        <f>IF(A318="","",(-PPMT(Refinance_Calculator!$C$26/12,'Internal Working'!A318,Refinance_Calculator!$C$29,Refinance_Calculator!$C$23,0,0)))</f>
        <v>70.785789857014507</v>
      </c>
      <c r="F318" s="3">
        <f t="shared" si="42"/>
        <v>3758.5719933226446</v>
      </c>
      <c r="G318" s="5">
        <f t="shared" si="43"/>
        <v>70.785789857014507</v>
      </c>
      <c r="H318" s="36">
        <f t="shared" si="44"/>
        <v>19.146788915898327</v>
      </c>
      <c r="I318" s="37" t="str">
        <f ca="1">+IF(A318 &lt;= $L$2, (Full_Report!C398-'Internal Working'!C318),"")</f>
        <v/>
      </c>
      <c r="J318" s="37" t="str">
        <f t="shared" ca="1" si="38"/>
        <v>0</v>
      </c>
      <c r="K318" s="35">
        <f t="shared" ca="1" si="39"/>
        <v>-11871.100398024473</v>
      </c>
      <c r="L318" s="35">
        <f t="shared" ca="1" si="37"/>
        <v>-11871.100398024473</v>
      </c>
      <c r="M318" s="2"/>
    </row>
    <row r="319" spans="1:13" x14ac:dyDescent="0.25">
      <c r="A319" s="1">
        <f>IF(OR(A318="",F318=0,A318=Refinance_Calculator!$C$29),"",A318+1)</f>
        <v>314</v>
      </c>
      <c r="B319" s="3">
        <f t="shared" si="40"/>
        <v>3758.5719933226446</v>
      </c>
      <c r="C319" s="3">
        <f>IF(A319="","",(-PMT(Refinance_Calculator!$C$26/12,Refinance_Calculator!$C$29,Refinance_Calculator!$C$23,0,0)))</f>
        <v>89.932578772912834</v>
      </c>
      <c r="D319" s="3">
        <f t="shared" si="41"/>
        <v>18.792859966613264</v>
      </c>
      <c r="E319" s="3">
        <f>IF(A319="","",(-PPMT(Refinance_Calculator!$C$26/12,'Internal Working'!A319,Refinance_Calculator!$C$29,Refinance_Calculator!$C$23,0,0)))</f>
        <v>71.13971880629957</v>
      </c>
      <c r="F319" s="3">
        <f t="shared" si="42"/>
        <v>3687.4322745163449</v>
      </c>
      <c r="G319" s="5">
        <f t="shared" si="43"/>
        <v>71.13971880629957</v>
      </c>
      <c r="H319" s="36">
        <f t="shared" si="44"/>
        <v>18.792859966613264</v>
      </c>
      <c r="I319" s="37" t="str">
        <f ca="1">+IF(A319 &lt;= $L$2, (Full_Report!C399-'Internal Working'!C319),"")</f>
        <v/>
      </c>
      <c r="J319" s="37" t="str">
        <f t="shared" ca="1" si="38"/>
        <v>0</v>
      </c>
      <c r="K319" s="35">
        <f t="shared" ca="1" si="39"/>
        <v>-11961.032976797385</v>
      </c>
      <c r="L319" s="35">
        <f t="shared" ca="1" si="37"/>
        <v>-11961.032976797385</v>
      </c>
      <c r="M319" s="2"/>
    </row>
    <row r="320" spans="1:13" x14ac:dyDescent="0.25">
      <c r="A320" s="1">
        <f>IF(OR(A319="",F319=0,A319=Refinance_Calculator!$C$29),"",A319+1)</f>
        <v>315</v>
      </c>
      <c r="B320" s="3">
        <f t="shared" si="40"/>
        <v>3687.4322745163449</v>
      </c>
      <c r="C320" s="3">
        <f>IF(A320="","",(-PMT(Refinance_Calculator!$C$26/12,Refinance_Calculator!$C$29,Refinance_Calculator!$C$23,0,0)))</f>
        <v>89.932578772912834</v>
      </c>
      <c r="D320" s="3">
        <f t="shared" si="41"/>
        <v>18.437161372581755</v>
      </c>
      <c r="E320" s="3">
        <f>IF(A320="","",(-PPMT(Refinance_Calculator!$C$26/12,'Internal Working'!A320,Refinance_Calculator!$C$29,Refinance_Calculator!$C$23,0,0)))</f>
        <v>71.495417400331078</v>
      </c>
      <c r="F320" s="3">
        <f t="shared" si="42"/>
        <v>3615.9368571160139</v>
      </c>
      <c r="G320" s="5">
        <f t="shared" si="43"/>
        <v>71.495417400331078</v>
      </c>
      <c r="H320" s="36">
        <f t="shared" si="44"/>
        <v>18.437161372581755</v>
      </c>
      <c r="I320" s="37" t="str">
        <f ca="1">+IF(A320 &lt;= $L$2, (Full_Report!C400-'Internal Working'!C320),"")</f>
        <v/>
      </c>
      <c r="J320" s="37" t="str">
        <f t="shared" ca="1" si="38"/>
        <v>0</v>
      </c>
      <c r="K320" s="35">
        <f t="shared" ca="1" si="39"/>
        <v>-12050.965555570298</v>
      </c>
      <c r="L320" s="35">
        <f t="shared" ca="1" si="37"/>
        <v>-12050.965555570298</v>
      </c>
      <c r="M320" s="2"/>
    </row>
    <row r="321" spans="1:13" x14ac:dyDescent="0.25">
      <c r="A321" s="1">
        <f>IF(OR(A320="",F320=0,A320=Refinance_Calculator!$C$29),"",A320+1)</f>
        <v>316</v>
      </c>
      <c r="B321" s="3">
        <f t="shared" si="40"/>
        <v>3615.9368571160139</v>
      </c>
      <c r="C321" s="3">
        <f>IF(A321="","",(-PMT(Refinance_Calculator!$C$26/12,Refinance_Calculator!$C$29,Refinance_Calculator!$C$23,0,0)))</f>
        <v>89.932578772912834</v>
      </c>
      <c r="D321" s="3">
        <f t="shared" si="41"/>
        <v>18.079684285580115</v>
      </c>
      <c r="E321" s="3">
        <f>IF(A321="","",(-PPMT(Refinance_Calculator!$C$26/12,'Internal Working'!A321,Refinance_Calculator!$C$29,Refinance_Calculator!$C$23,0,0)))</f>
        <v>71.852894487332719</v>
      </c>
      <c r="F321" s="3">
        <f t="shared" si="42"/>
        <v>3544.0839626286811</v>
      </c>
      <c r="G321" s="5">
        <f t="shared" si="43"/>
        <v>71.852894487332719</v>
      </c>
      <c r="H321" s="36">
        <f t="shared" si="44"/>
        <v>18.079684285580115</v>
      </c>
      <c r="I321" s="37" t="str">
        <f ca="1">+IF(A321 &lt;= $L$2, (Full_Report!C401-'Internal Working'!C321),"")</f>
        <v/>
      </c>
      <c r="J321" s="37" t="str">
        <f t="shared" ca="1" si="38"/>
        <v>0</v>
      </c>
      <c r="K321" s="35">
        <f t="shared" ca="1" si="39"/>
        <v>-12140.89813434321</v>
      </c>
      <c r="L321" s="35">
        <f t="shared" ca="1" si="37"/>
        <v>-12140.89813434321</v>
      </c>
      <c r="M321" s="2"/>
    </row>
    <row r="322" spans="1:13" x14ac:dyDescent="0.25">
      <c r="A322" s="1">
        <f>IF(OR(A321="",F321=0,A321=Refinance_Calculator!$C$29),"",A321+1)</f>
        <v>317</v>
      </c>
      <c r="B322" s="3">
        <f t="shared" si="40"/>
        <v>3544.0839626286811</v>
      </c>
      <c r="C322" s="3">
        <f>IF(A322="","",(-PMT(Refinance_Calculator!$C$26/12,Refinance_Calculator!$C$29,Refinance_Calculator!$C$23,0,0)))</f>
        <v>89.932578772912834</v>
      </c>
      <c r="D322" s="3">
        <f t="shared" si="41"/>
        <v>17.720419813143451</v>
      </c>
      <c r="E322" s="3">
        <f>IF(A322="","",(-PPMT(Refinance_Calculator!$C$26/12,'Internal Working'!A322,Refinance_Calculator!$C$29,Refinance_Calculator!$C$23,0,0)))</f>
        <v>72.212158959769383</v>
      </c>
      <c r="F322" s="3">
        <f t="shared" si="42"/>
        <v>3471.8718036689115</v>
      </c>
      <c r="G322" s="5">
        <f t="shared" si="43"/>
        <v>72.212158959769383</v>
      </c>
      <c r="H322" s="36">
        <f t="shared" si="44"/>
        <v>17.720419813143451</v>
      </c>
      <c r="I322" s="37" t="str">
        <f ca="1">+IF(A322 &lt;= $L$2, (Full_Report!C402-'Internal Working'!C322),"")</f>
        <v/>
      </c>
      <c r="J322" s="37" t="str">
        <f t="shared" ca="1" si="38"/>
        <v>0</v>
      </c>
      <c r="K322" s="35">
        <f t="shared" ca="1" si="39"/>
        <v>-12230.830713116122</v>
      </c>
      <c r="L322" s="35">
        <f t="shared" ca="1" si="37"/>
        <v>-12230.830713116122</v>
      </c>
      <c r="M322" s="2"/>
    </row>
    <row r="323" spans="1:13" x14ac:dyDescent="0.25">
      <c r="A323" s="1">
        <f>IF(OR(A322="",F322=0,A322=Refinance_Calculator!$C$29),"",A322+1)</f>
        <v>318</v>
      </c>
      <c r="B323" s="3">
        <f t="shared" si="40"/>
        <v>3471.8718036689115</v>
      </c>
      <c r="C323" s="3">
        <f>IF(A323="","",(-PMT(Refinance_Calculator!$C$26/12,Refinance_Calculator!$C$29,Refinance_Calculator!$C$23,0,0)))</f>
        <v>89.932578772912834</v>
      </c>
      <c r="D323" s="3">
        <f t="shared" si="41"/>
        <v>17.359359018344591</v>
      </c>
      <c r="E323" s="3">
        <f>IF(A323="","",(-PPMT(Refinance_Calculator!$C$26/12,'Internal Working'!A323,Refinance_Calculator!$C$29,Refinance_Calculator!$C$23,0,0)))</f>
        <v>72.573219754568242</v>
      </c>
      <c r="F323" s="3">
        <f t="shared" si="42"/>
        <v>3399.2985839143435</v>
      </c>
      <c r="G323" s="5">
        <f t="shared" si="43"/>
        <v>72.573219754568242</v>
      </c>
      <c r="H323" s="36">
        <f t="shared" si="44"/>
        <v>17.359359018344591</v>
      </c>
      <c r="I323" s="37" t="str">
        <f ca="1">+IF(A323 &lt;= $L$2, (Full_Report!C403-'Internal Working'!C323),"")</f>
        <v/>
      </c>
      <c r="J323" s="37" t="str">
        <f t="shared" ca="1" si="38"/>
        <v>0</v>
      </c>
      <c r="K323" s="35">
        <f t="shared" ca="1" si="39"/>
        <v>-12320.763291889034</v>
      </c>
      <c r="L323" s="35">
        <f t="shared" ca="1" si="37"/>
        <v>-12320.763291889034</v>
      </c>
      <c r="M323" s="2"/>
    </row>
    <row r="324" spans="1:13" x14ac:dyDescent="0.25">
      <c r="A324" s="1">
        <f>IF(OR(A323="",F323=0,A323=Refinance_Calculator!$C$29),"",A323+1)</f>
        <v>319</v>
      </c>
      <c r="B324" s="3">
        <f t="shared" si="40"/>
        <v>3399.2985839143435</v>
      </c>
      <c r="C324" s="3">
        <f>IF(A324="","",(-PMT(Refinance_Calculator!$C$26/12,Refinance_Calculator!$C$29,Refinance_Calculator!$C$23,0,0)))</f>
        <v>89.932578772912834</v>
      </c>
      <c r="D324" s="3">
        <f t="shared" si="41"/>
        <v>16.99649291957175</v>
      </c>
      <c r="E324" s="3">
        <f>IF(A324="","",(-PPMT(Refinance_Calculator!$C$26/12,'Internal Working'!A324,Refinance_Calculator!$C$29,Refinance_Calculator!$C$23,0,0)))</f>
        <v>72.936085853341083</v>
      </c>
      <c r="F324" s="3">
        <f t="shared" si="42"/>
        <v>3326.3624980610025</v>
      </c>
      <c r="G324" s="5">
        <f t="shared" si="43"/>
        <v>72.936085853341083</v>
      </c>
      <c r="H324" s="36">
        <f t="shared" si="44"/>
        <v>16.99649291957175</v>
      </c>
      <c r="I324" s="37" t="str">
        <f ca="1">+IF(A324 &lt;= $L$2, (Full_Report!C404-'Internal Working'!C324),"")</f>
        <v/>
      </c>
      <c r="J324" s="37" t="str">
        <f t="shared" ca="1" si="38"/>
        <v>0</v>
      </c>
      <c r="K324" s="35">
        <f t="shared" ca="1" si="39"/>
        <v>-12410.695870661946</v>
      </c>
      <c r="L324" s="35">
        <f t="shared" ca="1" si="37"/>
        <v>-12410.695870661946</v>
      </c>
      <c r="M324" s="2"/>
    </row>
    <row r="325" spans="1:13" x14ac:dyDescent="0.25">
      <c r="A325" s="1">
        <f>IF(OR(A324="",F324=0,A324=Refinance_Calculator!$C$29),"",A324+1)</f>
        <v>320</v>
      </c>
      <c r="B325" s="3">
        <f t="shared" si="40"/>
        <v>3326.3624980610025</v>
      </c>
      <c r="C325" s="3">
        <f>IF(A325="","",(-PMT(Refinance_Calculator!$C$26/12,Refinance_Calculator!$C$29,Refinance_Calculator!$C$23,0,0)))</f>
        <v>89.932578772912834</v>
      </c>
      <c r="D325" s="3">
        <f t="shared" si="41"/>
        <v>16.631812490305037</v>
      </c>
      <c r="E325" s="3">
        <f>IF(A325="","",(-PPMT(Refinance_Calculator!$C$26/12,'Internal Working'!A325,Refinance_Calculator!$C$29,Refinance_Calculator!$C$23,0,0)))</f>
        <v>73.300766282607796</v>
      </c>
      <c r="F325" s="3">
        <f t="shared" si="42"/>
        <v>3253.0617317783949</v>
      </c>
      <c r="G325" s="5">
        <f t="shared" si="43"/>
        <v>73.300766282607796</v>
      </c>
      <c r="H325" s="36">
        <f t="shared" si="44"/>
        <v>16.631812490305037</v>
      </c>
      <c r="I325" s="37" t="str">
        <f ca="1">+IF(A325 &lt;= $L$2, (Full_Report!C405-'Internal Working'!C325),"")</f>
        <v/>
      </c>
      <c r="J325" s="37" t="str">
        <f t="shared" ca="1" si="38"/>
        <v>0</v>
      </c>
      <c r="K325" s="35">
        <f t="shared" ca="1" si="39"/>
        <v>-12500.628449434858</v>
      </c>
      <c r="L325" s="35">
        <f t="shared" ca="1" si="37"/>
        <v>-12500.628449434858</v>
      </c>
      <c r="M325" s="2"/>
    </row>
    <row r="326" spans="1:13" x14ac:dyDescent="0.25">
      <c r="A326" s="1">
        <f>IF(OR(A325="",F325=0,A325=Refinance_Calculator!$C$29),"",A325+1)</f>
        <v>321</v>
      </c>
      <c r="B326" s="3">
        <f t="shared" si="40"/>
        <v>3253.0617317783949</v>
      </c>
      <c r="C326" s="3">
        <f>IF(A326="","",(-PMT(Refinance_Calculator!$C$26/12,Refinance_Calculator!$C$29,Refinance_Calculator!$C$23,0,0)))</f>
        <v>89.932578772912834</v>
      </c>
      <c r="D326" s="3">
        <f t="shared" si="41"/>
        <v>16.26530865889201</v>
      </c>
      <c r="E326" s="3">
        <f>IF(A326="","",(-PPMT(Refinance_Calculator!$C$26/12,'Internal Working'!A326,Refinance_Calculator!$C$29,Refinance_Calculator!$C$23,0,0)))</f>
        <v>73.667270114020823</v>
      </c>
      <c r="F326" s="3">
        <f t="shared" si="42"/>
        <v>3179.3944616643739</v>
      </c>
      <c r="G326" s="5">
        <f t="shared" si="43"/>
        <v>73.667270114020823</v>
      </c>
      <c r="H326" s="36">
        <f t="shared" si="44"/>
        <v>16.26530865889201</v>
      </c>
      <c r="I326" s="37" t="str">
        <f ca="1">+IF(A326 &lt;= $L$2, (Full_Report!C406-'Internal Working'!C326),"")</f>
        <v/>
      </c>
      <c r="J326" s="37" t="str">
        <f t="shared" ca="1" si="38"/>
        <v>0</v>
      </c>
      <c r="K326" s="35">
        <f t="shared" ca="1" si="39"/>
        <v>-12590.561028207771</v>
      </c>
      <c r="L326" s="35">
        <f t="shared" ca="1" si="37"/>
        <v>-12590.561028207771</v>
      </c>
      <c r="M326" s="2"/>
    </row>
    <row r="327" spans="1:13" x14ac:dyDescent="0.25">
      <c r="A327" s="1">
        <f>IF(OR(A326="",F326=0,A326=Refinance_Calculator!$C$29),"",A326+1)</f>
        <v>322</v>
      </c>
      <c r="B327" s="3">
        <f t="shared" si="40"/>
        <v>3179.3944616643739</v>
      </c>
      <c r="C327" s="3">
        <f>IF(A327="","",(-PMT(Refinance_Calculator!$C$26/12,Refinance_Calculator!$C$29,Refinance_Calculator!$C$23,0,0)))</f>
        <v>89.932578772912834</v>
      </c>
      <c r="D327" s="3">
        <f t="shared" si="41"/>
        <v>15.896972308321907</v>
      </c>
      <c r="E327" s="3">
        <f>IF(A327="","",(-PPMT(Refinance_Calculator!$C$26/12,'Internal Working'!A327,Refinance_Calculator!$C$29,Refinance_Calculator!$C$23,0,0)))</f>
        <v>74.035606464590927</v>
      </c>
      <c r="F327" s="3">
        <f t="shared" si="42"/>
        <v>3105.3588551997832</v>
      </c>
      <c r="G327" s="5">
        <f t="shared" si="43"/>
        <v>74.035606464590927</v>
      </c>
      <c r="H327" s="36">
        <f t="shared" si="44"/>
        <v>15.896972308321907</v>
      </c>
      <c r="I327" s="37" t="str">
        <f ca="1">+IF(A327 &lt;= $L$2, (Full_Report!C407-'Internal Working'!C327),"")</f>
        <v/>
      </c>
      <c r="J327" s="37" t="str">
        <f t="shared" ca="1" si="38"/>
        <v>0</v>
      </c>
      <c r="K327" s="35">
        <f t="shared" ca="1" si="39"/>
        <v>-12680.493606980683</v>
      </c>
      <c r="L327" s="35">
        <f t="shared" ref="L327:L390" ca="1" si="45">+IF(A327 = "","",(J327+K327))</f>
        <v>-12680.493606980683</v>
      </c>
      <c r="M327" s="2"/>
    </row>
    <row r="328" spans="1:13" x14ac:dyDescent="0.25">
      <c r="A328" s="1">
        <f>IF(OR(A327="",F327=0,A327=Refinance_Calculator!$C$29),"",A327+1)</f>
        <v>323</v>
      </c>
      <c r="B328" s="3">
        <f t="shared" si="40"/>
        <v>3105.3588551997832</v>
      </c>
      <c r="C328" s="3">
        <f>IF(A328="","",(-PMT(Refinance_Calculator!$C$26/12,Refinance_Calculator!$C$29,Refinance_Calculator!$C$23,0,0)))</f>
        <v>89.932578772912834</v>
      </c>
      <c r="D328" s="3">
        <f t="shared" si="41"/>
        <v>15.526794275998952</v>
      </c>
      <c r="E328" s="3">
        <f>IF(A328="","",(-PPMT(Refinance_Calculator!$C$26/12,'Internal Working'!A328,Refinance_Calculator!$C$29,Refinance_Calculator!$C$23,0,0)))</f>
        <v>74.405784496913881</v>
      </c>
      <c r="F328" s="3">
        <f t="shared" si="42"/>
        <v>3030.9530707028694</v>
      </c>
      <c r="G328" s="5">
        <f t="shared" si="43"/>
        <v>74.405784496913881</v>
      </c>
      <c r="H328" s="36">
        <f t="shared" si="44"/>
        <v>15.526794275998952</v>
      </c>
      <c r="I328" s="37" t="str">
        <f ca="1">+IF(A328 &lt;= $L$2, (Full_Report!C408-'Internal Working'!C328),"")</f>
        <v/>
      </c>
      <c r="J328" s="37" t="str">
        <f t="shared" ref="J328:J391" ca="1" si="46">IF(I328="","0",(I328+J327))</f>
        <v>0</v>
      </c>
      <c r="K328" s="35">
        <f t="shared" ref="K328:K391" ca="1" si="47">+IF(A328="","0",IF(A328&gt;$L$2,(K327-C328),"0"))</f>
        <v>-12770.426185753595</v>
      </c>
      <c r="L328" s="35">
        <f t="shared" ca="1" si="45"/>
        <v>-12770.426185753595</v>
      </c>
      <c r="M328" s="2"/>
    </row>
    <row r="329" spans="1:13" x14ac:dyDescent="0.25">
      <c r="A329" s="1">
        <f>IF(OR(A328="",F328=0,A328=Refinance_Calculator!$C$29),"",A328+1)</f>
        <v>324</v>
      </c>
      <c r="B329" s="3">
        <f t="shared" si="40"/>
        <v>3030.9530707028694</v>
      </c>
      <c r="C329" s="3">
        <f>IF(A329="","",(-PMT(Refinance_Calculator!$C$26/12,Refinance_Calculator!$C$29,Refinance_Calculator!$C$23,0,0)))</f>
        <v>89.932578772912834</v>
      </c>
      <c r="D329" s="3">
        <f t="shared" si="41"/>
        <v>15.154765353514378</v>
      </c>
      <c r="E329" s="3">
        <f>IF(A329="","",(-PPMT(Refinance_Calculator!$C$26/12,'Internal Working'!A329,Refinance_Calculator!$C$29,Refinance_Calculator!$C$23,0,0)))</f>
        <v>74.777813419398456</v>
      </c>
      <c r="F329" s="3">
        <f t="shared" si="42"/>
        <v>2956.1752572834707</v>
      </c>
      <c r="G329" s="5">
        <f t="shared" si="43"/>
        <v>74.777813419398456</v>
      </c>
      <c r="H329" s="36">
        <f t="shared" si="44"/>
        <v>15.154765353514378</v>
      </c>
      <c r="I329" s="37" t="str">
        <f ca="1">+IF(A329 &lt;= $L$2, (Full_Report!C409-'Internal Working'!C329),"")</f>
        <v/>
      </c>
      <c r="J329" s="37" t="str">
        <f t="shared" ca="1" si="46"/>
        <v>0</v>
      </c>
      <c r="K329" s="35">
        <f t="shared" ca="1" si="47"/>
        <v>-12860.358764526507</v>
      </c>
      <c r="L329" s="35">
        <f t="shared" ca="1" si="45"/>
        <v>-12860.358764526507</v>
      </c>
      <c r="M329" s="2"/>
    </row>
    <row r="330" spans="1:13" x14ac:dyDescent="0.25">
      <c r="A330" s="1">
        <f>IF(OR(A329="",F329=0,A329=Refinance_Calculator!$C$29),"",A329+1)</f>
        <v>325</v>
      </c>
      <c r="B330" s="3">
        <f t="shared" si="40"/>
        <v>2956.1752572834707</v>
      </c>
      <c r="C330" s="3">
        <f>IF(A330="","",(-PMT(Refinance_Calculator!$C$26/12,Refinance_Calculator!$C$29,Refinance_Calculator!$C$23,0,0)))</f>
        <v>89.932578772912834</v>
      </c>
      <c r="D330" s="3">
        <f t="shared" si="41"/>
        <v>14.780876286417396</v>
      </c>
      <c r="E330" s="3">
        <f>IF(A330="","",(-PPMT(Refinance_Calculator!$C$26/12,'Internal Working'!A330,Refinance_Calculator!$C$29,Refinance_Calculator!$C$23,0,0)))</f>
        <v>75.151702486495438</v>
      </c>
      <c r="F330" s="3">
        <f t="shared" si="42"/>
        <v>2881.0235547969751</v>
      </c>
      <c r="G330" s="5">
        <f t="shared" si="43"/>
        <v>75.151702486495438</v>
      </c>
      <c r="H330" s="36">
        <f t="shared" si="44"/>
        <v>14.780876286417396</v>
      </c>
      <c r="I330" s="37" t="str">
        <f ca="1">+IF(A330 &lt;= $L$2, (Full_Report!C410-'Internal Working'!C330),"")</f>
        <v/>
      </c>
      <c r="J330" s="37" t="str">
        <f t="shared" ca="1" si="46"/>
        <v>0</v>
      </c>
      <c r="K330" s="35">
        <f t="shared" ca="1" si="47"/>
        <v>-12950.291343299419</v>
      </c>
      <c r="L330" s="35">
        <f t="shared" ca="1" si="45"/>
        <v>-12950.291343299419</v>
      </c>
      <c r="M330" s="2"/>
    </row>
    <row r="331" spans="1:13" x14ac:dyDescent="0.25">
      <c r="A331" s="1">
        <f>IF(OR(A330="",F330=0,A330=Refinance_Calculator!$C$29),"",A330+1)</f>
        <v>326</v>
      </c>
      <c r="B331" s="3">
        <f t="shared" si="40"/>
        <v>2881.0235547969751</v>
      </c>
      <c r="C331" s="3">
        <f>IF(A331="","",(-PMT(Refinance_Calculator!$C$26/12,Refinance_Calculator!$C$29,Refinance_Calculator!$C$23,0,0)))</f>
        <v>89.932578772912834</v>
      </c>
      <c r="D331" s="3">
        <f t="shared" si="41"/>
        <v>14.405117773984898</v>
      </c>
      <c r="E331" s="3">
        <f>IF(A331="","",(-PPMT(Refinance_Calculator!$C$26/12,'Internal Working'!A331,Refinance_Calculator!$C$29,Refinance_Calculator!$C$23,0,0)))</f>
        <v>75.527460998927936</v>
      </c>
      <c r="F331" s="3">
        <f t="shared" si="42"/>
        <v>2805.4960937980472</v>
      </c>
      <c r="G331" s="5">
        <f t="shared" si="43"/>
        <v>75.527460998927936</v>
      </c>
      <c r="H331" s="36">
        <f t="shared" si="44"/>
        <v>14.405117773984898</v>
      </c>
      <c r="I331" s="37" t="str">
        <f ca="1">+IF(A331 &lt;= $L$2, (Full_Report!C411-'Internal Working'!C331),"")</f>
        <v/>
      </c>
      <c r="J331" s="37" t="str">
        <f t="shared" ca="1" si="46"/>
        <v>0</v>
      </c>
      <c r="K331" s="35">
        <f t="shared" ca="1" si="47"/>
        <v>-13040.223922072331</v>
      </c>
      <c r="L331" s="35">
        <f t="shared" ca="1" si="45"/>
        <v>-13040.223922072331</v>
      </c>
      <c r="M331" s="2"/>
    </row>
    <row r="332" spans="1:13" x14ac:dyDescent="0.25">
      <c r="A332" s="1">
        <f>IF(OR(A331="",F331=0,A331=Refinance_Calculator!$C$29),"",A331+1)</f>
        <v>327</v>
      </c>
      <c r="B332" s="3">
        <f t="shared" si="40"/>
        <v>2805.4960937980472</v>
      </c>
      <c r="C332" s="3">
        <f>IF(A332="","",(-PMT(Refinance_Calculator!$C$26/12,Refinance_Calculator!$C$29,Refinance_Calculator!$C$23,0,0)))</f>
        <v>89.932578772912834</v>
      </c>
      <c r="D332" s="3">
        <f t="shared" si="41"/>
        <v>14.027480468990277</v>
      </c>
      <c r="E332" s="3">
        <f>IF(A332="","",(-PPMT(Refinance_Calculator!$C$26/12,'Internal Working'!A332,Refinance_Calculator!$C$29,Refinance_Calculator!$C$23,0,0)))</f>
        <v>75.905098303922557</v>
      </c>
      <c r="F332" s="3">
        <f t="shared" si="42"/>
        <v>2729.5909954941249</v>
      </c>
      <c r="G332" s="5">
        <f t="shared" si="43"/>
        <v>75.905098303922557</v>
      </c>
      <c r="H332" s="36">
        <f t="shared" si="44"/>
        <v>14.027480468990277</v>
      </c>
      <c r="I332" s="37" t="str">
        <f ca="1">+IF(A332 &lt;= $L$2, (Full_Report!C412-'Internal Working'!C332),"")</f>
        <v/>
      </c>
      <c r="J332" s="37" t="str">
        <f t="shared" ca="1" si="46"/>
        <v>0</v>
      </c>
      <c r="K332" s="35">
        <f t="shared" ca="1" si="47"/>
        <v>-13130.156500845243</v>
      </c>
      <c r="L332" s="35">
        <f t="shared" ca="1" si="45"/>
        <v>-13130.156500845243</v>
      </c>
      <c r="M332" s="2"/>
    </row>
    <row r="333" spans="1:13" x14ac:dyDescent="0.25">
      <c r="A333" s="1">
        <f>IF(OR(A332="",F332=0,A332=Refinance_Calculator!$C$29),"",A332+1)</f>
        <v>328</v>
      </c>
      <c r="B333" s="3">
        <f t="shared" si="40"/>
        <v>2729.5909954941249</v>
      </c>
      <c r="C333" s="3">
        <f>IF(A333="","",(-PMT(Refinance_Calculator!$C$26/12,Refinance_Calculator!$C$29,Refinance_Calculator!$C$23,0,0)))</f>
        <v>89.932578772912834</v>
      </c>
      <c r="D333" s="3">
        <f t="shared" si="41"/>
        <v>13.647954977470661</v>
      </c>
      <c r="E333" s="3">
        <f>IF(A333="","",(-PPMT(Refinance_Calculator!$C$26/12,'Internal Working'!A333,Refinance_Calculator!$C$29,Refinance_Calculator!$C$23,0,0)))</f>
        <v>76.284623795442172</v>
      </c>
      <c r="F333" s="3">
        <f t="shared" si="42"/>
        <v>2653.3063716986826</v>
      </c>
      <c r="G333" s="5">
        <f t="shared" si="43"/>
        <v>76.284623795442172</v>
      </c>
      <c r="H333" s="36">
        <f t="shared" si="44"/>
        <v>13.647954977470661</v>
      </c>
      <c r="I333" s="37" t="str">
        <f ca="1">+IF(A333 &lt;= $L$2, (Full_Report!C413-'Internal Working'!C333),"")</f>
        <v/>
      </c>
      <c r="J333" s="37" t="str">
        <f t="shared" ca="1" si="46"/>
        <v>0</v>
      </c>
      <c r="K333" s="35">
        <f t="shared" ca="1" si="47"/>
        <v>-13220.089079618156</v>
      </c>
      <c r="L333" s="35">
        <f t="shared" ca="1" si="45"/>
        <v>-13220.089079618156</v>
      </c>
      <c r="M333" s="2"/>
    </row>
    <row r="334" spans="1:13" x14ac:dyDescent="0.25">
      <c r="A334" s="1">
        <f>IF(OR(A333="",F333=0,A333=Refinance_Calculator!$C$29),"",A333+1)</f>
        <v>329</v>
      </c>
      <c r="B334" s="3">
        <f t="shared" si="40"/>
        <v>2653.3063716986826</v>
      </c>
      <c r="C334" s="3">
        <f>IF(A334="","",(-PMT(Refinance_Calculator!$C$26/12,Refinance_Calculator!$C$29,Refinance_Calculator!$C$23,0,0)))</f>
        <v>89.932578772912834</v>
      </c>
      <c r="D334" s="3">
        <f t="shared" si="41"/>
        <v>13.266531858493437</v>
      </c>
      <c r="E334" s="3">
        <f>IF(A334="","",(-PPMT(Refinance_Calculator!$C$26/12,'Internal Working'!A334,Refinance_Calculator!$C$29,Refinance_Calculator!$C$23,0,0)))</f>
        <v>76.666046914419397</v>
      </c>
      <c r="F334" s="3">
        <f t="shared" si="42"/>
        <v>2576.6403247842632</v>
      </c>
      <c r="G334" s="5">
        <f t="shared" si="43"/>
        <v>76.666046914419397</v>
      </c>
      <c r="H334" s="36">
        <f t="shared" si="44"/>
        <v>13.266531858493437</v>
      </c>
      <c r="I334" s="37" t="str">
        <f ca="1">+IF(A334 &lt;= $L$2, (Full_Report!C414-'Internal Working'!C334),"")</f>
        <v/>
      </c>
      <c r="J334" s="37" t="str">
        <f t="shared" ca="1" si="46"/>
        <v>0</v>
      </c>
      <c r="K334" s="35">
        <f t="shared" ca="1" si="47"/>
        <v>-13310.021658391068</v>
      </c>
      <c r="L334" s="35">
        <f t="shared" ca="1" si="45"/>
        <v>-13310.021658391068</v>
      </c>
      <c r="M334" s="2"/>
    </row>
    <row r="335" spans="1:13" x14ac:dyDescent="0.25">
      <c r="A335" s="1">
        <f>IF(OR(A334="",F334=0,A334=Refinance_Calculator!$C$29),"",A334+1)</f>
        <v>330</v>
      </c>
      <c r="B335" s="3">
        <f t="shared" si="40"/>
        <v>2576.6403247842632</v>
      </c>
      <c r="C335" s="3">
        <f>IF(A335="","",(-PMT(Refinance_Calculator!$C$26/12,Refinance_Calculator!$C$29,Refinance_Calculator!$C$23,0,0)))</f>
        <v>89.932578772912834</v>
      </c>
      <c r="D335" s="3">
        <f t="shared" si="41"/>
        <v>12.883201623921352</v>
      </c>
      <c r="E335" s="3">
        <f>IF(A335="","",(-PPMT(Refinance_Calculator!$C$26/12,'Internal Working'!A335,Refinance_Calculator!$C$29,Refinance_Calculator!$C$23,0,0)))</f>
        <v>77.049377148991482</v>
      </c>
      <c r="F335" s="3">
        <f t="shared" si="42"/>
        <v>2499.5909476352717</v>
      </c>
      <c r="G335" s="5">
        <f t="shared" si="43"/>
        <v>77.049377148991482</v>
      </c>
      <c r="H335" s="36">
        <f t="shared" si="44"/>
        <v>12.883201623921352</v>
      </c>
      <c r="I335" s="37" t="str">
        <f ca="1">+IF(A335 &lt;= $L$2, (Full_Report!C415-'Internal Working'!C335),"")</f>
        <v/>
      </c>
      <c r="J335" s="37" t="str">
        <f t="shared" ca="1" si="46"/>
        <v>0</v>
      </c>
      <c r="K335" s="35">
        <f t="shared" ca="1" si="47"/>
        <v>-13399.95423716398</v>
      </c>
      <c r="L335" s="35">
        <f t="shared" ca="1" si="45"/>
        <v>-13399.95423716398</v>
      </c>
      <c r="M335" s="2"/>
    </row>
    <row r="336" spans="1:13" x14ac:dyDescent="0.25">
      <c r="A336" s="1">
        <f>IF(OR(A335="",F335=0,A335=Refinance_Calculator!$C$29),"",A335+1)</f>
        <v>331</v>
      </c>
      <c r="B336" s="3">
        <f t="shared" si="40"/>
        <v>2499.5909476352717</v>
      </c>
      <c r="C336" s="3">
        <f>IF(A336="","",(-PMT(Refinance_Calculator!$C$26/12,Refinance_Calculator!$C$29,Refinance_Calculator!$C$23,0,0)))</f>
        <v>89.932578772912834</v>
      </c>
      <c r="D336" s="3">
        <f t="shared" si="41"/>
        <v>12.497954738176389</v>
      </c>
      <c r="E336" s="3">
        <f>IF(A336="","",(-PPMT(Refinance_Calculator!$C$26/12,'Internal Working'!A336,Refinance_Calculator!$C$29,Refinance_Calculator!$C$23,0,0)))</f>
        <v>77.434624034736444</v>
      </c>
      <c r="F336" s="3">
        <f t="shared" si="42"/>
        <v>2422.1563236005354</v>
      </c>
      <c r="G336" s="5">
        <f t="shared" si="43"/>
        <v>77.434624034736444</v>
      </c>
      <c r="H336" s="36">
        <f t="shared" si="44"/>
        <v>12.497954738176389</v>
      </c>
      <c r="I336" s="37" t="str">
        <f ca="1">+IF(A336 &lt;= $L$2, (Full_Report!C416-'Internal Working'!C336),"")</f>
        <v/>
      </c>
      <c r="J336" s="37" t="str">
        <f t="shared" ca="1" si="46"/>
        <v>0</v>
      </c>
      <c r="K336" s="35">
        <f t="shared" ca="1" si="47"/>
        <v>-13489.886815936892</v>
      </c>
      <c r="L336" s="35">
        <f t="shared" ca="1" si="45"/>
        <v>-13489.886815936892</v>
      </c>
      <c r="M336" s="2"/>
    </row>
    <row r="337" spans="1:13" x14ac:dyDescent="0.25">
      <c r="A337" s="1">
        <f>IF(OR(A336="",F336=0,A336=Refinance_Calculator!$C$29),"",A336+1)</f>
        <v>332</v>
      </c>
      <c r="B337" s="3">
        <f t="shared" si="40"/>
        <v>2422.1563236005354</v>
      </c>
      <c r="C337" s="3">
        <f>IF(A337="","",(-PMT(Refinance_Calculator!$C$26/12,Refinance_Calculator!$C$29,Refinance_Calculator!$C$23,0,0)))</f>
        <v>89.932578772912834</v>
      </c>
      <c r="D337" s="3">
        <f t="shared" si="41"/>
        <v>12.110781618002719</v>
      </c>
      <c r="E337" s="3">
        <f>IF(A337="","",(-PPMT(Refinance_Calculator!$C$26/12,'Internal Working'!A337,Refinance_Calculator!$C$29,Refinance_Calculator!$C$23,0,0)))</f>
        <v>77.821797154910115</v>
      </c>
      <c r="F337" s="3">
        <f t="shared" si="42"/>
        <v>2344.3345264456252</v>
      </c>
      <c r="G337" s="5">
        <f t="shared" si="43"/>
        <v>77.821797154910115</v>
      </c>
      <c r="H337" s="36">
        <f t="shared" si="44"/>
        <v>12.110781618002719</v>
      </c>
      <c r="I337" s="37" t="str">
        <f ca="1">+IF(A337 &lt;= $L$2, (Full_Report!C417-'Internal Working'!C337),"")</f>
        <v/>
      </c>
      <c r="J337" s="37" t="str">
        <f t="shared" ca="1" si="46"/>
        <v>0</v>
      </c>
      <c r="K337" s="35">
        <f t="shared" ca="1" si="47"/>
        <v>-13579.819394709804</v>
      </c>
      <c r="L337" s="35">
        <f t="shared" ca="1" si="45"/>
        <v>-13579.819394709804</v>
      </c>
      <c r="M337" s="2"/>
    </row>
    <row r="338" spans="1:13" x14ac:dyDescent="0.25">
      <c r="A338" s="1">
        <f>IF(OR(A337="",F337=0,A337=Refinance_Calculator!$C$29),"",A337+1)</f>
        <v>333</v>
      </c>
      <c r="B338" s="3">
        <f t="shared" ref="B338:B401" si="48">IF(A338="","",(F337))</f>
        <v>2344.3345264456252</v>
      </c>
      <c r="C338" s="3">
        <f>IF(A338="","",(-PMT(Refinance_Calculator!$C$26/12,Refinance_Calculator!$C$29,Refinance_Calculator!$C$23,0,0)))</f>
        <v>89.932578772912834</v>
      </c>
      <c r="D338" s="3">
        <f t="shared" ref="D338:D401" si="49">+IF(A338="","",(C338-E338))</f>
        <v>11.721672632228163</v>
      </c>
      <c r="E338" s="3">
        <f>IF(A338="","",(-PPMT(Refinance_Calculator!$C$26/12,'Internal Working'!A338,Refinance_Calculator!$C$29,Refinance_Calculator!$C$23,0,0)))</f>
        <v>78.210906140684671</v>
      </c>
      <c r="F338" s="3">
        <f t="shared" ref="F338:F401" si="50">+IF(A338="","",(B338-E338))</f>
        <v>2266.1236203049407</v>
      </c>
      <c r="G338" s="5">
        <f t="shared" ref="G338:G401" si="51">+E338</f>
        <v>78.210906140684671</v>
      </c>
      <c r="H338" s="36">
        <f t="shared" ref="H338:H401" si="52">+D338</f>
        <v>11.721672632228163</v>
      </c>
      <c r="I338" s="37" t="str">
        <f ca="1">+IF(A338 &lt;= $L$2, (Full_Report!C418-'Internal Working'!C338),"")</f>
        <v/>
      </c>
      <c r="J338" s="37" t="str">
        <f t="shared" ca="1" si="46"/>
        <v>0</v>
      </c>
      <c r="K338" s="35">
        <f t="shared" ca="1" si="47"/>
        <v>-13669.751973482716</v>
      </c>
      <c r="L338" s="35">
        <f t="shared" ca="1" si="45"/>
        <v>-13669.751973482716</v>
      </c>
      <c r="M338" s="2"/>
    </row>
    <row r="339" spans="1:13" x14ac:dyDescent="0.25">
      <c r="A339" s="1">
        <f>IF(OR(A338="",F338=0,A338=Refinance_Calculator!$C$29),"",A338+1)</f>
        <v>334</v>
      </c>
      <c r="B339" s="3">
        <f t="shared" si="48"/>
        <v>2266.1236203049407</v>
      </c>
      <c r="C339" s="3">
        <f>IF(A339="","",(-PMT(Refinance_Calculator!$C$26/12,Refinance_Calculator!$C$29,Refinance_Calculator!$C$23,0,0)))</f>
        <v>89.932578772912834</v>
      </c>
      <c r="D339" s="3">
        <f t="shared" si="49"/>
        <v>11.330618101524749</v>
      </c>
      <c r="E339" s="3">
        <f>IF(A339="","",(-PPMT(Refinance_Calculator!$C$26/12,'Internal Working'!A339,Refinance_Calculator!$C$29,Refinance_Calculator!$C$23,0,0)))</f>
        <v>78.601960671388085</v>
      </c>
      <c r="F339" s="3">
        <f t="shared" si="50"/>
        <v>2187.5216596335526</v>
      </c>
      <c r="G339" s="5">
        <f t="shared" si="51"/>
        <v>78.601960671388085</v>
      </c>
      <c r="H339" s="36">
        <f t="shared" si="52"/>
        <v>11.330618101524749</v>
      </c>
      <c r="I339" s="37" t="str">
        <f ca="1">+IF(A339 &lt;= $L$2, (Full_Report!C419-'Internal Working'!C339),"")</f>
        <v/>
      </c>
      <c r="J339" s="37" t="str">
        <f t="shared" ca="1" si="46"/>
        <v>0</v>
      </c>
      <c r="K339" s="35">
        <f t="shared" ca="1" si="47"/>
        <v>-13759.684552255629</v>
      </c>
      <c r="L339" s="35">
        <f t="shared" ca="1" si="45"/>
        <v>-13759.684552255629</v>
      </c>
      <c r="M339" s="2"/>
    </row>
    <row r="340" spans="1:13" x14ac:dyDescent="0.25">
      <c r="A340" s="1">
        <f>IF(OR(A339="",F339=0,A339=Refinance_Calculator!$C$29),"",A339+1)</f>
        <v>335</v>
      </c>
      <c r="B340" s="3">
        <f t="shared" si="48"/>
        <v>2187.5216596335526</v>
      </c>
      <c r="C340" s="3">
        <f>IF(A340="","",(-PMT(Refinance_Calculator!$C$26/12,Refinance_Calculator!$C$29,Refinance_Calculator!$C$23,0,0)))</f>
        <v>89.932578772912834</v>
      </c>
      <c r="D340" s="3">
        <f t="shared" si="49"/>
        <v>10.937608298167802</v>
      </c>
      <c r="E340" s="3">
        <f>IF(A340="","",(-PPMT(Refinance_Calculator!$C$26/12,'Internal Working'!A340,Refinance_Calculator!$C$29,Refinance_Calculator!$C$23,0,0)))</f>
        <v>78.994970474745031</v>
      </c>
      <c r="F340" s="3">
        <f t="shared" si="50"/>
        <v>2108.5266891588076</v>
      </c>
      <c r="G340" s="5">
        <f t="shared" si="51"/>
        <v>78.994970474745031</v>
      </c>
      <c r="H340" s="36">
        <f t="shared" si="52"/>
        <v>10.937608298167802</v>
      </c>
      <c r="I340" s="37" t="str">
        <f ca="1">+IF(A340 &lt;= $L$2, (Full_Report!C420-'Internal Working'!C340),"")</f>
        <v/>
      </c>
      <c r="J340" s="37" t="str">
        <f t="shared" ca="1" si="46"/>
        <v>0</v>
      </c>
      <c r="K340" s="35">
        <f t="shared" ca="1" si="47"/>
        <v>-13849.617131028541</v>
      </c>
      <c r="L340" s="35">
        <f t="shared" ca="1" si="45"/>
        <v>-13849.617131028541</v>
      </c>
      <c r="M340" s="2"/>
    </row>
    <row r="341" spans="1:13" x14ac:dyDescent="0.25">
      <c r="A341" s="1">
        <f>IF(OR(A340="",F340=0,A340=Refinance_Calculator!$C$29),"",A340+1)</f>
        <v>336</v>
      </c>
      <c r="B341" s="3">
        <f t="shared" si="48"/>
        <v>2108.5266891588076</v>
      </c>
      <c r="C341" s="3">
        <f>IF(A341="","",(-PMT(Refinance_Calculator!$C$26/12,Refinance_Calculator!$C$29,Refinance_Calculator!$C$23,0,0)))</f>
        <v>89.932578772912834</v>
      </c>
      <c r="D341" s="3">
        <f t="shared" si="49"/>
        <v>10.542633445794067</v>
      </c>
      <c r="E341" s="3">
        <f>IF(A341="","",(-PPMT(Refinance_Calculator!$C$26/12,'Internal Working'!A341,Refinance_Calculator!$C$29,Refinance_Calculator!$C$23,0,0)))</f>
        <v>79.389945327118767</v>
      </c>
      <c r="F341" s="3">
        <f t="shared" si="50"/>
        <v>2029.1367438316888</v>
      </c>
      <c r="G341" s="5">
        <f t="shared" si="51"/>
        <v>79.389945327118767</v>
      </c>
      <c r="H341" s="36">
        <f t="shared" si="52"/>
        <v>10.542633445794067</v>
      </c>
      <c r="I341" s="37" t="str">
        <f ca="1">+IF(A341 &lt;= $L$2, (Full_Report!C421-'Internal Working'!C341),"")</f>
        <v/>
      </c>
      <c r="J341" s="37" t="str">
        <f t="shared" ca="1" si="46"/>
        <v>0</v>
      </c>
      <c r="K341" s="35">
        <f t="shared" ca="1" si="47"/>
        <v>-13939.549709801453</v>
      </c>
      <c r="L341" s="35">
        <f t="shared" ca="1" si="45"/>
        <v>-13939.549709801453</v>
      </c>
      <c r="M341" s="2"/>
    </row>
    <row r="342" spans="1:13" x14ac:dyDescent="0.25">
      <c r="A342" s="1">
        <f>IF(OR(A341="",F341=0,A341=Refinance_Calculator!$C$29),"",A341+1)</f>
        <v>337</v>
      </c>
      <c r="B342" s="3">
        <f t="shared" si="48"/>
        <v>2029.1367438316888</v>
      </c>
      <c r="C342" s="3">
        <f>IF(A342="","",(-PMT(Refinance_Calculator!$C$26/12,Refinance_Calculator!$C$29,Refinance_Calculator!$C$23,0,0)))</f>
        <v>89.932578772912834</v>
      </c>
      <c r="D342" s="3">
        <f t="shared" si="49"/>
        <v>10.145683719158484</v>
      </c>
      <c r="E342" s="3">
        <f>IF(A342="","",(-PPMT(Refinance_Calculator!$C$26/12,'Internal Working'!A342,Refinance_Calculator!$C$29,Refinance_Calculator!$C$23,0,0)))</f>
        <v>79.78689505375435</v>
      </c>
      <c r="F342" s="3">
        <f t="shared" si="50"/>
        <v>1949.3498487779345</v>
      </c>
      <c r="G342" s="5">
        <f t="shared" si="51"/>
        <v>79.78689505375435</v>
      </c>
      <c r="H342" s="36">
        <f t="shared" si="52"/>
        <v>10.145683719158484</v>
      </c>
      <c r="I342" s="37" t="str">
        <f ca="1">+IF(A342 &lt;= $L$2, (Full_Report!C422-'Internal Working'!C342),"")</f>
        <v/>
      </c>
      <c r="J342" s="37" t="str">
        <f t="shared" ca="1" si="46"/>
        <v>0</v>
      </c>
      <c r="K342" s="35">
        <f t="shared" ca="1" si="47"/>
        <v>-14029.482288574365</v>
      </c>
      <c r="L342" s="35">
        <f t="shared" ca="1" si="45"/>
        <v>-14029.482288574365</v>
      </c>
      <c r="M342" s="2"/>
    </row>
    <row r="343" spans="1:13" x14ac:dyDescent="0.25">
      <c r="A343" s="1">
        <f>IF(OR(A342="",F342=0,A342=Refinance_Calculator!$C$29),"",A342+1)</f>
        <v>338</v>
      </c>
      <c r="B343" s="3">
        <f t="shared" si="48"/>
        <v>1949.3498487779345</v>
      </c>
      <c r="C343" s="3">
        <f>IF(A343="","",(-PMT(Refinance_Calculator!$C$26/12,Refinance_Calculator!$C$29,Refinance_Calculator!$C$23,0,0)))</f>
        <v>89.932578772912834</v>
      </c>
      <c r="D343" s="3">
        <f t="shared" si="49"/>
        <v>9.7467492438897096</v>
      </c>
      <c r="E343" s="3">
        <f>IF(A343="","",(-PPMT(Refinance_Calculator!$C$26/12,'Internal Working'!A343,Refinance_Calculator!$C$29,Refinance_Calculator!$C$23,0,0)))</f>
        <v>80.185829529023124</v>
      </c>
      <c r="F343" s="3">
        <f t="shared" si="50"/>
        <v>1869.1640192489115</v>
      </c>
      <c r="G343" s="5">
        <f t="shared" si="51"/>
        <v>80.185829529023124</v>
      </c>
      <c r="H343" s="36">
        <f t="shared" si="52"/>
        <v>9.7467492438897096</v>
      </c>
      <c r="I343" s="37" t="str">
        <f ca="1">+IF(A343 &lt;= $L$2, (Full_Report!C423-'Internal Working'!C343),"")</f>
        <v/>
      </c>
      <c r="J343" s="37" t="str">
        <f t="shared" ca="1" si="46"/>
        <v>0</v>
      </c>
      <c r="K343" s="35">
        <f t="shared" ca="1" si="47"/>
        <v>-14119.414867347277</v>
      </c>
      <c r="L343" s="35">
        <f t="shared" ca="1" si="45"/>
        <v>-14119.414867347277</v>
      </c>
      <c r="M343" s="2"/>
    </row>
    <row r="344" spans="1:13" x14ac:dyDescent="0.25">
      <c r="A344" s="1">
        <f>IF(OR(A343="",F343=0,A343=Refinance_Calculator!$C$29),"",A343+1)</f>
        <v>339</v>
      </c>
      <c r="B344" s="3">
        <f t="shared" si="48"/>
        <v>1869.1640192489115</v>
      </c>
      <c r="C344" s="3">
        <f>IF(A344="","",(-PMT(Refinance_Calculator!$C$26/12,Refinance_Calculator!$C$29,Refinance_Calculator!$C$23,0,0)))</f>
        <v>89.932578772912834</v>
      </c>
      <c r="D344" s="3">
        <f t="shared" si="49"/>
        <v>9.3458200962445801</v>
      </c>
      <c r="E344" s="3">
        <f>IF(A344="","",(-PPMT(Refinance_Calculator!$C$26/12,'Internal Working'!A344,Refinance_Calculator!$C$29,Refinance_Calculator!$C$23,0,0)))</f>
        <v>80.586758676668254</v>
      </c>
      <c r="F344" s="3">
        <f t="shared" si="50"/>
        <v>1788.5772605722432</v>
      </c>
      <c r="G344" s="5">
        <f t="shared" si="51"/>
        <v>80.586758676668254</v>
      </c>
      <c r="H344" s="36">
        <f t="shared" si="52"/>
        <v>9.3458200962445801</v>
      </c>
      <c r="I344" s="37" t="str">
        <f ca="1">+IF(A344 &lt;= $L$2, (Full_Report!C424-'Internal Working'!C344),"")</f>
        <v/>
      </c>
      <c r="J344" s="37" t="str">
        <f t="shared" ca="1" si="46"/>
        <v>0</v>
      </c>
      <c r="K344" s="35">
        <f t="shared" ca="1" si="47"/>
        <v>-14209.347446120189</v>
      </c>
      <c r="L344" s="35">
        <f t="shared" ca="1" si="45"/>
        <v>-14209.347446120189</v>
      </c>
      <c r="M344" s="2"/>
    </row>
    <row r="345" spans="1:13" x14ac:dyDescent="0.25">
      <c r="A345" s="1">
        <f>IF(OR(A344="",F344=0,A344=Refinance_Calculator!$C$29),"",A344+1)</f>
        <v>340</v>
      </c>
      <c r="B345" s="3">
        <f t="shared" si="48"/>
        <v>1788.5772605722432</v>
      </c>
      <c r="C345" s="3">
        <f>IF(A345="","",(-PMT(Refinance_Calculator!$C$26/12,Refinance_Calculator!$C$29,Refinance_Calculator!$C$23,0,0)))</f>
        <v>89.932578772912834</v>
      </c>
      <c r="D345" s="3">
        <f t="shared" si="49"/>
        <v>8.942886302861254</v>
      </c>
      <c r="E345" s="3">
        <f>IF(A345="","",(-PPMT(Refinance_Calculator!$C$26/12,'Internal Working'!A345,Refinance_Calculator!$C$29,Refinance_Calculator!$C$23,0,0)))</f>
        <v>80.98969247005158</v>
      </c>
      <c r="F345" s="3">
        <f t="shared" si="50"/>
        <v>1707.5875681021917</v>
      </c>
      <c r="G345" s="5">
        <f t="shared" si="51"/>
        <v>80.98969247005158</v>
      </c>
      <c r="H345" s="36">
        <f t="shared" si="52"/>
        <v>8.942886302861254</v>
      </c>
      <c r="I345" s="37" t="str">
        <f ca="1">+IF(A345 &lt;= $L$2, (Full_Report!C425-'Internal Working'!C345),"")</f>
        <v/>
      </c>
      <c r="J345" s="37" t="str">
        <f t="shared" ca="1" si="46"/>
        <v>0</v>
      </c>
      <c r="K345" s="35">
        <f t="shared" ca="1" si="47"/>
        <v>-14299.280024893102</v>
      </c>
      <c r="L345" s="35">
        <f t="shared" ca="1" si="45"/>
        <v>-14299.280024893102</v>
      </c>
      <c r="M345" s="2"/>
    </row>
    <row r="346" spans="1:13" x14ac:dyDescent="0.25">
      <c r="A346" s="1">
        <f>IF(OR(A345="",F345=0,A345=Refinance_Calculator!$C$29),"",A345+1)</f>
        <v>341</v>
      </c>
      <c r="B346" s="3">
        <f t="shared" si="48"/>
        <v>1707.5875681021917</v>
      </c>
      <c r="C346" s="3">
        <f>IF(A346="","",(-PMT(Refinance_Calculator!$C$26/12,Refinance_Calculator!$C$29,Refinance_Calculator!$C$23,0,0)))</f>
        <v>89.932578772912834</v>
      </c>
      <c r="D346" s="3">
        <f t="shared" si="49"/>
        <v>8.5379378405109918</v>
      </c>
      <c r="E346" s="3">
        <f>IF(A346="","",(-PPMT(Refinance_Calculator!$C$26/12,'Internal Working'!A346,Refinance_Calculator!$C$29,Refinance_Calculator!$C$23,0,0)))</f>
        <v>81.394640932401842</v>
      </c>
      <c r="F346" s="3">
        <f t="shared" si="50"/>
        <v>1626.1929271697898</v>
      </c>
      <c r="G346" s="5">
        <f t="shared" si="51"/>
        <v>81.394640932401842</v>
      </c>
      <c r="H346" s="36">
        <f t="shared" si="52"/>
        <v>8.5379378405109918</v>
      </c>
      <c r="I346" s="37" t="str">
        <f ca="1">+IF(A346 &lt;= $L$2, (Full_Report!C426-'Internal Working'!C346),"")</f>
        <v/>
      </c>
      <c r="J346" s="37" t="str">
        <f t="shared" ca="1" si="46"/>
        <v>0</v>
      </c>
      <c r="K346" s="35">
        <f t="shared" ca="1" si="47"/>
        <v>-14389.212603666014</v>
      </c>
      <c r="L346" s="35">
        <f t="shared" ca="1" si="45"/>
        <v>-14389.212603666014</v>
      </c>
      <c r="M346" s="2"/>
    </row>
    <row r="347" spans="1:13" x14ac:dyDescent="0.25">
      <c r="A347" s="1">
        <f>IF(OR(A346="",F346=0,A346=Refinance_Calculator!$C$29),"",A346+1)</f>
        <v>342</v>
      </c>
      <c r="B347" s="3">
        <f t="shared" si="48"/>
        <v>1626.1929271697898</v>
      </c>
      <c r="C347" s="3">
        <f>IF(A347="","",(-PMT(Refinance_Calculator!$C$26/12,Refinance_Calculator!$C$29,Refinance_Calculator!$C$23,0,0)))</f>
        <v>89.932578772912834</v>
      </c>
      <c r="D347" s="3">
        <f t="shared" si="49"/>
        <v>8.1309646358489829</v>
      </c>
      <c r="E347" s="3">
        <f>IF(A347="","",(-PPMT(Refinance_Calculator!$C$26/12,'Internal Working'!A347,Refinance_Calculator!$C$29,Refinance_Calculator!$C$23,0,0)))</f>
        <v>81.801614137063851</v>
      </c>
      <c r="F347" s="3">
        <f t="shared" si="50"/>
        <v>1544.391313032726</v>
      </c>
      <c r="G347" s="5">
        <f t="shared" si="51"/>
        <v>81.801614137063851</v>
      </c>
      <c r="H347" s="36">
        <f t="shared" si="52"/>
        <v>8.1309646358489829</v>
      </c>
      <c r="I347" s="37" t="str">
        <f ca="1">+IF(A347 &lt;= $L$2, (Full_Report!C427-'Internal Working'!C347),"")</f>
        <v/>
      </c>
      <c r="J347" s="37" t="str">
        <f t="shared" ca="1" si="46"/>
        <v>0</v>
      </c>
      <c r="K347" s="35">
        <f t="shared" ca="1" si="47"/>
        <v>-14479.145182438926</v>
      </c>
      <c r="L347" s="35">
        <f t="shared" ca="1" si="45"/>
        <v>-14479.145182438926</v>
      </c>
      <c r="M347" s="2"/>
    </row>
    <row r="348" spans="1:13" x14ac:dyDescent="0.25">
      <c r="A348" s="1">
        <f>IF(OR(A347="",F347=0,A347=Refinance_Calculator!$C$29),"",A347+1)</f>
        <v>343</v>
      </c>
      <c r="B348" s="3">
        <f t="shared" si="48"/>
        <v>1544.391313032726</v>
      </c>
      <c r="C348" s="3">
        <f>IF(A348="","",(-PMT(Refinance_Calculator!$C$26/12,Refinance_Calculator!$C$29,Refinance_Calculator!$C$23,0,0)))</f>
        <v>89.932578772912834</v>
      </c>
      <c r="D348" s="3">
        <f t="shared" si="49"/>
        <v>7.7219565651636657</v>
      </c>
      <c r="E348" s="3">
        <f>IF(A348="","",(-PPMT(Refinance_Calculator!$C$26/12,'Internal Working'!A348,Refinance_Calculator!$C$29,Refinance_Calculator!$C$23,0,0)))</f>
        <v>82.210622207749168</v>
      </c>
      <c r="F348" s="3">
        <f t="shared" si="50"/>
        <v>1462.1806908249769</v>
      </c>
      <c r="G348" s="5">
        <f t="shared" si="51"/>
        <v>82.210622207749168</v>
      </c>
      <c r="H348" s="36">
        <f t="shared" si="52"/>
        <v>7.7219565651636657</v>
      </c>
      <c r="I348" s="37" t="str">
        <f ca="1">+IF(A348 &lt;= $L$2, (Full_Report!C428-'Internal Working'!C348),"")</f>
        <v/>
      </c>
      <c r="J348" s="37" t="str">
        <f t="shared" ca="1" si="46"/>
        <v>0</v>
      </c>
      <c r="K348" s="35">
        <f t="shared" ca="1" si="47"/>
        <v>-14569.077761211838</v>
      </c>
      <c r="L348" s="35">
        <f t="shared" ca="1" si="45"/>
        <v>-14569.077761211838</v>
      </c>
      <c r="M348" s="2"/>
    </row>
    <row r="349" spans="1:13" x14ac:dyDescent="0.25">
      <c r="A349" s="1">
        <f>IF(OR(A348="",F348=0,A348=Refinance_Calculator!$C$29),"",A348+1)</f>
        <v>344</v>
      </c>
      <c r="B349" s="3">
        <f t="shared" si="48"/>
        <v>1462.1806908249769</v>
      </c>
      <c r="C349" s="3">
        <f>IF(A349="","",(-PMT(Refinance_Calculator!$C$26/12,Refinance_Calculator!$C$29,Refinance_Calculator!$C$23,0,0)))</f>
        <v>89.932578772912834</v>
      </c>
      <c r="D349" s="3">
        <f t="shared" si="49"/>
        <v>7.3109034541249258</v>
      </c>
      <c r="E349" s="3">
        <f>IF(A349="","",(-PPMT(Refinance_Calculator!$C$26/12,'Internal Working'!A349,Refinance_Calculator!$C$29,Refinance_Calculator!$C$23,0,0)))</f>
        <v>82.621675318787908</v>
      </c>
      <c r="F349" s="3">
        <f t="shared" si="50"/>
        <v>1379.5590155061889</v>
      </c>
      <c r="G349" s="5">
        <f t="shared" si="51"/>
        <v>82.621675318787908</v>
      </c>
      <c r="H349" s="36">
        <f t="shared" si="52"/>
        <v>7.3109034541249258</v>
      </c>
      <c r="I349" s="37" t="str">
        <f ca="1">+IF(A349 &lt;= $L$2, (Full_Report!C429-'Internal Working'!C349),"")</f>
        <v/>
      </c>
      <c r="J349" s="37" t="str">
        <f t="shared" ca="1" si="46"/>
        <v>0</v>
      </c>
      <c r="K349" s="35">
        <f t="shared" ca="1" si="47"/>
        <v>-14659.01033998475</v>
      </c>
      <c r="L349" s="35">
        <f t="shared" ca="1" si="45"/>
        <v>-14659.01033998475</v>
      </c>
      <c r="M349" s="2"/>
    </row>
    <row r="350" spans="1:13" x14ac:dyDescent="0.25">
      <c r="A350" s="1">
        <f>IF(OR(A349="",F349=0,A349=Refinance_Calculator!$C$29),"",A349+1)</f>
        <v>345</v>
      </c>
      <c r="B350" s="3">
        <f t="shared" si="48"/>
        <v>1379.5590155061889</v>
      </c>
      <c r="C350" s="3">
        <f>IF(A350="","",(-PMT(Refinance_Calculator!$C$26/12,Refinance_Calculator!$C$29,Refinance_Calculator!$C$23,0,0)))</f>
        <v>89.932578772912834</v>
      </c>
      <c r="D350" s="3">
        <f t="shared" si="49"/>
        <v>6.8977950775309722</v>
      </c>
      <c r="E350" s="3">
        <f>IF(A350="","",(-PPMT(Refinance_Calculator!$C$26/12,'Internal Working'!A350,Refinance_Calculator!$C$29,Refinance_Calculator!$C$23,0,0)))</f>
        <v>83.034783695381861</v>
      </c>
      <c r="F350" s="3">
        <f t="shared" si="50"/>
        <v>1296.5242318108071</v>
      </c>
      <c r="G350" s="5">
        <f t="shared" si="51"/>
        <v>83.034783695381861</v>
      </c>
      <c r="H350" s="36">
        <f t="shared" si="52"/>
        <v>6.8977950775309722</v>
      </c>
      <c r="I350" s="37" t="str">
        <f ca="1">+IF(A350 &lt;= $L$2, (Full_Report!C430-'Internal Working'!C350),"")</f>
        <v/>
      </c>
      <c r="J350" s="37" t="str">
        <f t="shared" ca="1" si="46"/>
        <v>0</v>
      </c>
      <c r="K350" s="35">
        <f t="shared" ca="1" si="47"/>
        <v>-14748.942918757662</v>
      </c>
      <c r="L350" s="35">
        <f t="shared" ca="1" si="45"/>
        <v>-14748.942918757662</v>
      </c>
      <c r="M350" s="2"/>
    </row>
    <row r="351" spans="1:13" x14ac:dyDescent="0.25">
      <c r="A351" s="1">
        <f>IF(OR(A350="",F350=0,A350=Refinance_Calculator!$C$29),"",A350+1)</f>
        <v>346</v>
      </c>
      <c r="B351" s="3">
        <f t="shared" si="48"/>
        <v>1296.5242318108071</v>
      </c>
      <c r="C351" s="3">
        <f>IF(A351="","",(-PMT(Refinance_Calculator!$C$26/12,Refinance_Calculator!$C$29,Refinance_Calculator!$C$23,0,0)))</f>
        <v>89.932578772912834</v>
      </c>
      <c r="D351" s="3">
        <f t="shared" si="49"/>
        <v>6.4826211590540623</v>
      </c>
      <c r="E351" s="3">
        <f>IF(A351="","",(-PPMT(Refinance_Calculator!$C$26/12,'Internal Working'!A351,Refinance_Calculator!$C$29,Refinance_Calculator!$C$23,0,0)))</f>
        <v>83.449957613858771</v>
      </c>
      <c r="F351" s="3">
        <f t="shared" si="50"/>
        <v>1213.0742741969484</v>
      </c>
      <c r="G351" s="5">
        <f t="shared" si="51"/>
        <v>83.449957613858771</v>
      </c>
      <c r="H351" s="36">
        <f t="shared" si="52"/>
        <v>6.4826211590540623</v>
      </c>
      <c r="I351" s="37" t="str">
        <f ca="1">+IF(A351 &lt;= $L$2, (Full_Report!C431-'Internal Working'!C351),"")</f>
        <v/>
      </c>
      <c r="J351" s="37" t="str">
        <f t="shared" ca="1" si="46"/>
        <v>0</v>
      </c>
      <c r="K351" s="35">
        <f t="shared" ca="1" si="47"/>
        <v>-14838.875497530575</v>
      </c>
      <c r="L351" s="35">
        <f t="shared" ca="1" si="45"/>
        <v>-14838.875497530575</v>
      </c>
      <c r="M351" s="2"/>
    </row>
    <row r="352" spans="1:13" x14ac:dyDescent="0.25">
      <c r="A352" s="1">
        <f>IF(OR(A351="",F351=0,A351=Refinance_Calculator!$C$29),"",A351+1)</f>
        <v>347</v>
      </c>
      <c r="B352" s="3">
        <f t="shared" si="48"/>
        <v>1213.0742741969484</v>
      </c>
      <c r="C352" s="3">
        <f>IF(A352="","",(-PMT(Refinance_Calculator!$C$26/12,Refinance_Calculator!$C$29,Refinance_Calculator!$C$23,0,0)))</f>
        <v>89.932578772912834</v>
      </c>
      <c r="D352" s="3">
        <f t="shared" si="49"/>
        <v>6.0653713709847636</v>
      </c>
      <c r="E352" s="3">
        <f>IF(A352="","",(-PPMT(Refinance_Calculator!$C$26/12,'Internal Working'!A352,Refinance_Calculator!$C$29,Refinance_Calculator!$C$23,0,0)))</f>
        <v>83.86720740192807</v>
      </c>
      <c r="F352" s="3">
        <f t="shared" si="50"/>
        <v>1129.2070667950204</v>
      </c>
      <c r="G352" s="5">
        <f t="shared" si="51"/>
        <v>83.86720740192807</v>
      </c>
      <c r="H352" s="36">
        <f t="shared" si="52"/>
        <v>6.0653713709847636</v>
      </c>
      <c r="I352" s="37" t="str">
        <f ca="1">+IF(A352 &lt;= $L$2, (Full_Report!C432-'Internal Working'!C352),"")</f>
        <v/>
      </c>
      <c r="J352" s="37" t="str">
        <f t="shared" ca="1" si="46"/>
        <v>0</v>
      </c>
      <c r="K352" s="35">
        <f t="shared" ca="1" si="47"/>
        <v>-14928.808076303487</v>
      </c>
      <c r="L352" s="35">
        <f t="shared" ca="1" si="45"/>
        <v>-14928.808076303487</v>
      </c>
      <c r="M352" s="2"/>
    </row>
    <row r="353" spans="1:13" x14ac:dyDescent="0.25">
      <c r="A353" s="1">
        <f>IF(OR(A352="",F352=0,A352=Refinance_Calculator!$C$29),"",A352+1)</f>
        <v>348</v>
      </c>
      <c r="B353" s="3">
        <f t="shared" si="48"/>
        <v>1129.2070667950204</v>
      </c>
      <c r="C353" s="3">
        <f>IF(A353="","",(-PMT(Refinance_Calculator!$C$26/12,Refinance_Calculator!$C$29,Refinance_Calculator!$C$23,0,0)))</f>
        <v>89.932578772912834</v>
      </c>
      <c r="D353" s="3">
        <f t="shared" si="49"/>
        <v>5.646035333975135</v>
      </c>
      <c r="E353" s="3">
        <f>IF(A353="","",(-PPMT(Refinance_Calculator!$C$26/12,'Internal Working'!A353,Refinance_Calculator!$C$29,Refinance_Calculator!$C$23,0,0)))</f>
        <v>84.286543438937699</v>
      </c>
      <c r="F353" s="3">
        <f t="shared" si="50"/>
        <v>1044.9205233560826</v>
      </c>
      <c r="G353" s="5">
        <f t="shared" si="51"/>
        <v>84.286543438937699</v>
      </c>
      <c r="H353" s="36">
        <f t="shared" si="52"/>
        <v>5.646035333975135</v>
      </c>
      <c r="I353" s="37" t="str">
        <f ca="1">+IF(A353 &lt;= $L$2, (Full_Report!C433-'Internal Working'!C353),"")</f>
        <v/>
      </c>
      <c r="J353" s="37" t="str">
        <f t="shared" ca="1" si="46"/>
        <v>0</v>
      </c>
      <c r="K353" s="35">
        <f t="shared" ca="1" si="47"/>
        <v>-15018.740655076399</v>
      </c>
      <c r="L353" s="35">
        <f t="shared" ca="1" si="45"/>
        <v>-15018.740655076399</v>
      </c>
      <c r="M353" s="2"/>
    </row>
    <row r="354" spans="1:13" x14ac:dyDescent="0.25">
      <c r="A354" s="1">
        <f>IF(OR(A353="",F353=0,A353=Refinance_Calculator!$C$29),"",A353+1)</f>
        <v>349</v>
      </c>
      <c r="B354" s="3">
        <f t="shared" si="48"/>
        <v>1044.9205233560826</v>
      </c>
      <c r="C354" s="3">
        <f>IF(A354="","",(-PMT(Refinance_Calculator!$C$26/12,Refinance_Calculator!$C$29,Refinance_Calculator!$C$23,0,0)))</f>
        <v>89.932578772912834</v>
      </c>
      <c r="D354" s="3">
        <f t="shared" si="49"/>
        <v>5.2246026167804445</v>
      </c>
      <c r="E354" s="3">
        <f>IF(A354="","",(-PPMT(Refinance_Calculator!$C$26/12,'Internal Working'!A354,Refinance_Calculator!$C$29,Refinance_Calculator!$C$23,0,0)))</f>
        <v>84.707976156132389</v>
      </c>
      <c r="F354" s="3">
        <f t="shared" si="50"/>
        <v>960.21254719995022</v>
      </c>
      <c r="G354" s="5">
        <f t="shared" si="51"/>
        <v>84.707976156132389</v>
      </c>
      <c r="H354" s="36">
        <f t="shared" si="52"/>
        <v>5.2246026167804445</v>
      </c>
      <c r="I354" s="37" t="str">
        <f ca="1">+IF(A354 &lt;= $L$2, (Full_Report!C434-'Internal Working'!C354),"")</f>
        <v/>
      </c>
      <c r="J354" s="37" t="str">
        <f t="shared" ca="1" si="46"/>
        <v>0</v>
      </c>
      <c r="K354" s="35">
        <f t="shared" ca="1" si="47"/>
        <v>-15108.673233849311</v>
      </c>
      <c r="L354" s="35">
        <f t="shared" ca="1" si="45"/>
        <v>-15108.673233849311</v>
      </c>
      <c r="M354" s="2"/>
    </row>
    <row r="355" spans="1:13" x14ac:dyDescent="0.25">
      <c r="A355" s="1">
        <f>IF(OR(A354="",F354=0,A354=Refinance_Calculator!$C$29),"",A354+1)</f>
        <v>350</v>
      </c>
      <c r="B355" s="3">
        <f t="shared" si="48"/>
        <v>960.21254719995022</v>
      </c>
      <c r="C355" s="3">
        <f>IF(A355="","",(-PMT(Refinance_Calculator!$C$26/12,Refinance_Calculator!$C$29,Refinance_Calculator!$C$23,0,0)))</f>
        <v>89.932578772912834</v>
      </c>
      <c r="D355" s="3">
        <f t="shared" si="49"/>
        <v>4.8010627359997784</v>
      </c>
      <c r="E355" s="3">
        <f>IF(A355="","",(-PPMT(Refinance_Calculator!$C$26/12,'Internal Working'!A355,Refinance_Calculator!$C$29,Refinance_Calculator!$C$23,0,0)))</f>
        <v>85.131516036913055</v>
      </c>
      <c r="F355" s="3">
        <f t="shared" si="50"/>
        <v>875.08103116303721</v>
      </c>
      <c r="G355" s="5">
        <f t="shared" si="51"/>
        <v>85.131516036913055</v>
      </c>
      <c r="H355" s="36">
        <f t="shared" si="52"/>
        <v>4.8010627359997784</v>
      </c>
      <c r="I355" s="37" t="str">
        <f ca="1">+IF(A355 &lt;= $L$2, (Full_Report!C435-'Internal Working'!C355),"")</f>
        <v/>
      </c>
      <c r="J355" s="37" t="str">
        <f t="shared" ca="1" si="46"/>
        <v>0</v>
      </c>
      <c r="K355" s="35">
        <f t="shared" ca="1" si="47"/>
        <v>-15198.605812622223</v>
      </c>
      <c r="L355" s="35">
        <f t="shared" ca="1" si="45"/>
        <v>-15198.605812622223</v>
      </c>
      <c r="M355" s="2"/>
    </row>
    <row r="356" spans="1:13" x14ac:dyDescent="0.25">
      <c r="A356" s="1">
        <f>IF(OR(A355="",F355=0,A355=Refinance_Calculator!$C$29),"",A355+1)</f>
        <v>351</v>
      </c>
      <c r="B356" s="3">
        <f t="shared" si="48"/>
        <v>875.08103116303721</v>
      </c>
      <c r="C356" s="3">
        <f>IF(A356="","",(-PMT(Refinance_Calculator!$C$26/12,Refinance_Calculator!$C$29,Refinance_Calculator!$C$23,0,0)))</f>
        <v>89.932578772912834</v>
      </c>
      <c r="D356" s="3">
        <f t="shared" si="49"/>
        <v>4.3754051558152156</v>
      </c>
      <c r="E356" s="3">
        <f>IF(A356="","",(-PPMT(Refinance_Calculator!$C$26/12,'Internal Working'!A356,Refinance_Calculator!$C$29,Refinance_Calculator!$C$23,0,0)))</f>
        <v>85.557173617097618</v>
      </c>
      <c r="F356" s="3">
        <f t="shared" si="50"/>
        <v>789.52385754593956</v>
      </c>
      <c r="G356" s="5">
        <f t="shared" si="51"/>
        <v>85.557173617097618</v>
      </c>
      <c r="H356" s="36">
        <f t="shared" si="52"/>
        <v>4.3754051558152156</v>
      </c>
      <c r="I356" s="37" t="str">
        <f ca="1">+IF(A356 &lt;= $L$2, (Full_Report!C436-'Internal Working'!C356),"")</f>
        <v/>
      </c>
      <c r="J356" s="37" t="str">
        <f t="shared" ca="1" si="46"/>
        <v>0</v>
      </c>
      <c r="K356" s="35">
        <f t="shared" ca="1" si="47"/>
        <v>-15288.538391395135</v>
      </c>
      <c r="L356" s="35">
        <f t="shared" ca="1" si="45"/>
        <v>-15288.538391395135</v>
      </c>
      <c r="M356" s="2"/>
    </row>
    <row r="357" spans="1:13" x14ac:dyDescent="0.25">
      <c r="A357" s="1">
        <f>IF(OR(A356="",F356=0,A356=Refinance_Calculator!$C$29),"",A356+1)</f>
        <v>352</v>
      </c>
      <c r="B357" s="3">
        <f t="shared" si="48"/>
        <v>789.52385754593956</v>
      </c>
      <c r="C357" s="3">
        <f>IF(A357="","",(-PMT(Refinance_Calculator!$C$26/12,Refinance_Calculator!$C$29,Refinance_Calculator!$C$23,0,0)))</f>
        <v>89.932578772912834</v>
      </c>
      <c r="D357" s="3">
        <f t="shared" si="49"/>
        <v>3.9476192877297365</v>
      </c>
      <c r="E357" s="3">
        <f>IF(A357="","",(-PPMT(Refinance_Calculator!$C$26/12,'Internal Working'!A357,Refinance_Calculator!$C$29,Refinance_Calculator!$C$23,0,0)))</f>
        <v>85.984959485183097</v>
      </c>
      <c r="F357" s="3">
        <f t="shared" si="50"/>
        <v>703.53889806075642</v>
      </c>
      <c r="G357" s="5">
        <f t="shared" si="51"/>
        <v>85.984959485183097</v>
      </c>
      <c r="H357" s="36">
        <f t="shared" si="52"/>
        <v>3.9476192877297365</v>
      </c>
      <c r="I357" s="37" t="str">
        <f ca="1">+IF(A357 &lt;= $L$2, (Full_Report!C437-'Internal Working'!C357),"")</f>
        <v/>
      </c>
      <c r="J357" s="37" t="str">
        <f t="shared" ca="1" si="46"/>
        <v>0</v>
      </c>
      <c r="K357" s="35">
        <f t="shared" ca="1" si="47"/>
        <v>-15378.470970168048</v>
      </c>
      <c r="L357" s="35">
        <f t="shared" ca="1" si="45"/>
        <v>-15378.470970168048</v>
      </c>
      <c r="M357" s="2"/>
    </row>
    <row r="358" spans="1:13" x14ac:dyDescent="0.25">
      <c r="A358" s="1">
        <f>IF(OR(A357="",F357=0,A357=Refinance_Calculator!$C$29),"",A357+1)</f>
        <v>353</v>
      </c>
      <c r="B358" s="3">
        <f t="shared" si="48"/>
        <v>703.53889806075642</v>
      </c>
      <c r="C358" s="3">
        <f>IF(A358="","",(-PMT(Refinance_Calculator!$C$26/12,Refinance_Calculator!$C$29,Refinance_Calculator!$C$23,0,0)))</f>
        <v>89.932578772912834</v>
      </c>
      <c r="D358" s="3">
        <f t="shared" si="49"/>
        <v>3.5176944903038105</v>
      </c>
      <c r="E358" s="3">
        <f>IF(A358="","",(-PPMT(Refinance_Calculator!$C$26/12,'Internal Working'!A358,Refinance_Calculator!$C$29,Refinance_Calculator!$C$23,0,0)))</f>
        <v>86.414884282609023</v>
      </c>
      <c r="F358" s="3">
        <f t="shared" si="50"/>
        <v>617.1240137781474</v>
      </c>
      <c r="G358" s="5">
        <f t="shared" si="51"/>
        <v>86.414884282609023</v>
      </c>
      <c r="H358" s="36">
        <f t="shared" si="52"/>
        <v>3.5176944903038105</v>
      </c>
      <c r="I358" s="37" t="str">
        <f ca="1">+IF(A358 &lt;= $L$2, (Full_Report!C438-'Internal Working'!C358),"")</f>
        <v/>
      </c>
      <c r="J358" s="37" t="str">
        <f t="shared" ca="1" si="46"/>
        <v>0</v>
      </c>
      <c r="K358" s="35">
        <f t="shared" ca="1" si="47"/>
        <v>-15468.40354894096</v>
      </c>
      <c r="L358" s="35">
        <f t="shared" ca="1" si="45"/>
        <v>-15468.40354894096</v>
      </c>
      <c r="M358" s="2"/>
    </row>
    <row r="359" spans="1:13" x14ac:dyDescent="0.25">
      <c r="A359" s="1">
        <f>IF(OR(A358="",F358=0,A358=Refinance_Calculator!$C$29),"",A358+1)</f>
        <v>354</v>
      </c>
      <c r="B359" s="3">
        <f t="shared" si="48"/>
        <v>617.1240137781474</v>
      </c>
      <c r="C359" s="3">
        <f>IF(A359="","",(-PMT(Refinance_Calculator!$C$26/12,Refinance_Calculator!$C$29,Refinance_Calculator!$C$23,0,0)))</f>
        <v>89.932578772912834</v>
      </c>
      <c r="D359" s="3">
        <f t="shared" si="49"/>
        <v>3.085620068890762</v>
      </c>
      <c r="E359" s="3">
        <f>IF(A359="","",(-PPMT(Refinance_Calculator!$C$26/12,'Internal Working'!A359,Refinance_Calculator!$C$29,Refinance_Calculator!$C$23,0,0)))</f>
        <v>86.846958704022072</v>
      </c>
      <c r="F359" s="3">
        <f t="shared" si="50"/>
        <v>530.27705507412531</v>
      </c>
      <c r="G359" s="5">
        <f t="shared" si="51"/>
        <v>86.846958704022072</v>
      </c>
      <c r="H359" s="36">
        <f t="shared" si="52"/>
        <v>3.085620068890762</v>
      </c>
      <c r="I359" s="37" t="str">
        <f ca="1">+IF(A359 &lt;= $L$2, (Full_Report!C439-'Internal Working'!C359),"")</f>
        <v/>
      </c>
      <c r="J359" s="37" t="str">
        <f t="shared" ca="1" si="46"/>
        <v>0</v>
      </c>
      <c r="K359" s="35">
        <f t="shared" ca="1" si="47"/>
        <v>-15558.336127713872</v>
      </c>
      <c r="L359" s="35">
        <f t="shared" ca="1" si="45"/>
        <v>-15558.336127713872</v>
      </c>
      <c r="M359" s="2"/>
    </row>
    <row r="360" spans="1:13" x14ac:dyDescent="0.25">
      <c r="A360" s="1">
        <f>IF(OR(A359="",F359=0,A359=Refinance_Calculator!$C$29),"",A359+1)</f>
        <v>355</v>
      </c>
      <c r="B360" s="3">
        <f t="shared" si="48"/>
        <v>530.27705507412531</v>
      </c>
      <c r="C360" s="3">
        <f>IF(A360="","",(-PMT(Refinance_Calculator!$C$26/12,Refinance_Calculator!$C$29,Refinance_Calculator!$C$23,0,0)))</f>
        <v>89.932578772912834</v>
      </c>
      <c r="D360" s="3">
        <f t="shared" si="49"/>
        <v>2.6513852753706573</v>
      </c>
      <c r="E360" s="3">
        <f>IF(A360="","",(-PPMT(Refinance_Calculator!$C$26/12,'Internal Working'!A360,Refinance_Calculator!$C$29,Refinance_Calculator!$C$23,0,0)))</f>
        <v>87.281193497542176</v>
      </c>
      <c r="F360" s="3">
        <f t="shared" si="50"/>
        <v>442.99586157658314</v>
      </c>
      <c r="G360" s="5">
        <f t="shared" si="51"/>
        <v>87.281193497542176</v>
      </c>
      <c r="H360" s="36">
        <f t="shared" si="52"/>
        <v>2.6513852753706573</v>
      </c>
      <c r="I360" s="37" t="str">
        <f ca="1">+IF(A360 &lt;= $L$2, (Full_Report!C440-'Internal Working'!C360),"")</f>
        <v/>
      </c>
      <c r="J360" s="37" t="str">
        <f t="shared" ca="1" si="46"/>
        <v>0</v>
      </c>
      <c r="K360" s="35">
        <f t="shared" ca="1" si="47"/>
        <v>-15648.268706486784</v>
      </c>
      <c r="L360" s="35">
        <f t="shared" ca="1" si="45"/>
        <v>-15648.268706486784</v>
      </c>
      <c r="M360" s="2"/>
    </row>
    <row r="361" spans="1:13" x14ac:dyDescent="0.25">
      <c r="A361" s="1">
        <f>IF(OR(A360="",F360=0,A360=Refinance_Calculator!$C$29),"",A360+1)</f>
        <v>356</v>
      </c>
      <c r="B361" s="3">
        <f t="shared" si="48"/>
        <v>442.99586157658314</v>
      </c>
      <c r="C361" s="3">
        <f>IF(A361="","",(-PMT(Refinance_Calculator!$C$26/12,Refinance_Calculator!$C$29,Refinance_Calculator!$C$23,0,0)))</f>
        <v>89.932578772912834</v>
      </c>
      <c r="D361" s="3">
        <f t="shared" si="49"/>
        <v>2.2149793078829418</v>
      </c>
      <c r="E361" s="3">
        <f>IF(A361="","",(-PPMT(Refinance_Calculator!$C$26/12,'Internal Working'!A361,Refinance_Calculator!$C$29,Refinance_Calculator!$C$23,0,0)))</f>
        <v>87.717599465029892</v>
      </c>
      <c r="F361" s="3">
        <f t="shared" si="50"/>
        <v>355.27826211155326</v>
      </c>
      <c r="G361" s="5">
        <f t="shared" si="51"/>
        <v>87.717599465029892</v>
      </c>
      <c r="H361" s="36">
        <f t="shared" si="52"/>
        <v>2.2149793078829418</v>
      </c>
      <c r="I361" s="37" t="str">
        <f ca="1">+IF(A361 &lt;= $L$2, (Full_Report!C441-'Internal Working'!C361),"")</f>
        <v/>
      </c>
      <c r="J361" s="37" t="str">
        <f t="shared" ca="1" si="46"/>
        <v>0</v>
      </c>
      <c r="K361" s="35">
        <f t="shared" ca="1" si="47"/>
        <v>-15738.201285259696</v>
      </c>
      <c r="L361" s="35">
        <f t="shared" ca="1" si="45"/>
        <v>-15738.201285259696</v>
      </c>
      <c r="M361" s="2"/>
    </row>
    <row r="362" spans="1:13" x14ac:dyDescent="0.25">
      <c r="A362" s="1">
        <f>IF(OR(A361="",F361=0,A361=Refinance_Calculator!$C$29),"",A361+1)</f>
        <v>357</v>
      </c>
      <c r="B362" s="3">
        <f t="shared" si="48"/>
        <v>355.27826211155326</v>
      </c>
      <c r="C362" s="3">
        <f>IF(A362="","",(-PMT(Refinance_Calculator!$C$26/12,Refinance_Calculator!$C$29,Refinance_Calculator!$C$23,0,0)))</f>
        <v>89.932578772912834</v>
      </c>
      <c r="D362" s="3">
        <f t="shared" si="49"/>
        <v>1.7763913105577984</v>
      </c>
      <c r="E362" s="3">
        <f>IF(A362="","",(-PPMT(Refinance_Calculator!$C$26/12,'Internal Working'!A362,Refinance_Calculator!$C$29,Refinance_Calculator!$C$23,0,0)))</f>
        <v>88.156187462355035</v>
      </c>
      <c r="F362" s="3">
        <f t="shared" si="50"/>
        <v>267.12207464919823</v>
      </c>
      <c r="G362" s="5">
        <f t="shared" si="51"/>
        <v>88.156187462355035</v>
      </c>
      <c r="H362" s="36">
        <f t="shared" si="52"/>
        <v>1.7763913105577984</v>
      </c>
      <c r="I362" s="37" t="str">
        <f ca="1">+IF(A362 &lt;= $L$2, (Full_Report!C442-'Internal Working'!C362),"")</f>
        <v/>
      </c>
      <c r="J362" s="37" t="str">
        <f t="shared" ca="1" si="46"/>
        <v>0</v>
      </c>
      <c r="K362" s="35">
        <f t="shared" ca="1" si="47"/>
        <v>-15828.133864032608</v>
      </c>
      <c r="L362" s="35">
        <f t="shared" ca="1" si="45"/>
        <v>-15828.133864032608</v>
      </c>
      <c r="M362" s="2"/>
    </row>
    <row r="363" spans="1:13" x14ac:dyDescent="0.25">
      <c r="A363" s="1">
        <f>IF(OR(A362="",F362=0,A362=Refinance_Calculator!$C$29),"",A362+1)</f>
        <v>358</v>
      </c>
      <c r="B363" s="3">
        <f t="shared" si="48"/>
        <v>267.12207464919823</v>
      </c>
      <c r="C363" s="3">
        <f>IF(A363="","",(-PMT(Refinance_Calculator!$C$26/12,Refinance_Calculator!$C$29,Refinance_Calculator!$C$23,0,0)))</f>
        <v>89.932578772912834</v>
      </c>
      <c r="D363" s="3">
        <f t="shared" si="49"/>
        <v>1.3356103732460127</v>
      </c>
      <c r="E363" s="3">
        <f>IF(A363="","",(-PPMT(Refinance_Calculator!$C$26/12,'Internal Working'!A363,Refinance_Calculator!$C$29,Refinance_Calculator!$C$23,0,0)))</f>
        <v>88.596968399666821</v>
      </c>
      <c r="F363" s="3">
        <f t="shared" si="50"/>
        <v>178.5251062495314</v>
      </c>
      <c r="G363" s="5">
        <f t="shared" si="51"/>
        <v>88.596968399666821</v>
      </c>
      <c r="H363" s="36">
        <f t="shared" si="52"/>
        <v>1.3356103732460127</v>
      </c>
      <c r="I363" s="37" t="str">
        <f ca="1">+IF(A363 &lt;= $L$2, (Full_Report!C443-'Internal Working'!C363),"")</f>
        <v/>
      </c>
      <c r="J363" s="37" t="str">
        <f t="shared" ca="1" si="46"/>
        <v>0</v>
      </c>
      <c r="K363" s="35">
        <f t="shared" ca="1" si="47"/>
        <v>-15918.066442805521</v>
      </c>
      <c r="L363" s="35">
        <f t="shared" ca="1" si="45"/>
        <v>-15918.066442805521</v>
      </c>
      <c r="M363" s="2"/>
    </row>
    <row r="364" spans="1:13" x14ac:dyDescent="0.25">
      <c r="A364" s="1">
        <f>IF(OR(A363="",F363=0,A363=Refinance_Calculator!$C$29),"",A363+1)</f>
        <v>359</v>
      </c>
      <c r="B364" s="3">
        <f t="shared" si="48"/>
        <v>178.5251062495314</v>
      </c>
      <c r="C364" s="3">
        <f>IF(A364="","",(-PMT(Refinance_Calculator!$C$26/12,Refinance_Calculator!$C$29,Refinance_Calculator!$C$23,0,0)))</f>
        <v>89.932578772912834</v>
      </c>
      <c r="D364" s="3">
        <f t="shared" si="49"/>
        <v>0.89262553124767408</v>
      </c>
      <c r="E364" s="3">
        <f>IF(A364="","",(-PPMT(Refinance_Calculator!$C$26/12,'Internal Working'!A364,Refinance_Calculator!$C$29,Refinance_Calculator!$C$23,0,0)))</f>
        <v>89.03995324166516</v>
      </c>
      <c r="F364" s="3">
        <f t="shared" si="50"/>
        <v>89.485153007866245</v>
      </c>
      <c r="G364" s="5">
        <f t="shared" si="51"/>
        <v>89.03995324166516</v>
      </c>
      <c r="H364" s="36">
        <f t="shared" si="52"/>
        <v>0.89262553124767408</v>
      </c>
      <c r="I364" s="37" t="str">
        <f ca="1">+IF(A364 &lt;= $L$2, (Full_Report!C444-'Internal Working'!C364),"")</f>
        <v/>
      </c>
      <c r="J364" s="37" t="str">
        <f t="shared" ca="1" si="46"/>
        <v>0</v>
      </c>
      <c r="K364" s="35">
        <f t="shared" ca="1" si="47"/>
        <v>-16007.999021578433</v>
      </c>
      <c r="L364" s="35">
        <f t="shared" ca="1" si="45"/>
        <v>-16007.999021578433</v>
      </c>
      <c r="M364" s="2"/>
    </row>
    <row r="365" spans="1:13" x14ac:dyDescent="0.25">
      <c r="A365" s="1">
        <f>IF(OR(A364="",F364=0,A364=Refinance_Calculator!$C$29),"",A364+1)</f>
        <v>360</v>
      </c>
      <c r="B365" s="3">
        <f t="shared" si="48"/>
        <v>89.485153007866245</v>
      </c>
      <c r="C365" s="3">
        <f>IF(A365="","",(-PMT(Refinance_Calculator!$C$26/12,Refinance_Calculator!$C$29,Refinance_Calculator!$C$23,0,0)))</f>
        <v>89.932578772912834</v>
      </c>
      <c r="D365" s="3">
        <f t="shared" si="49"/>
        <v>0.44742576503936959</v>
      </c>
      <c r="E365" s="3">
        <f>IF(A365="","",(-PPMT(Refinance_Calculator!$C$26/12,'Internal Working'!A365,Refinance_Calculator!$C$29,Refinance_Calculator!$C$23,0,0)))</f>
        <v>89.485153007873464</v>
      </c>
      <c r="F365" s="3">
        <f t="shared" si="50"/>
        <v>-7.2191141953226179E-12</v>
      </c>
      <c r="G365" s="5">
        <f t="shared" si="51"/>
        <v>89.485153007873464</v>
      </c>
      <c r="H365" s="36">
        <f t="shared" si="52"/>
        <v>0.44742576503936959</v>
      </c>
      <c r="I365" s="37" t="str">
        <f ca="1">+IF(A365 &lt;= $L$2, (Full_Report!C445-'Internal Working'!C365),"")</f>
        <v/>
      </c>
      <c r="J365" s="37" t="str">
        <f t="shared" ca="1" si="46"/>
        <v>0</v>
      </c>
      <c r="K365" s="35">
        <f t="shared" ca="1" si="47"/>
        <v>-16097.931600351345</v>
      </c>
      <c r="L365" s="35">
        <f t="shared" ca="1" si="45"/>
        <v>-16097.931600351345</v>
      </c>
      <c r="M365" s="2"/>
    </row>
    <row r="366" spans="1:13" x14ac:dyDescent="0.25">
      <c r="A366" s="1" t="str">
        <f>IF(OR(A365="",F365=0,A365=Refinance_Calculator!$C$29),"",A365+1)</f>
        <v/>
      </c>
      <c r="B366" s="3" t="str">
        <f t="shared" si="48"/>
        <v/>
      </c>
      <c r="C366" s="3" t="str">
        <f>IF(A366="","",(-PMT(Refinance_Calculator!$C$26/12,Refinance_Calculator!$C$29,Refinance_Calculator!$C$23,0,0)))</f>
        <v/>
      </c>
      <c r="D366" s="3" t="str">
        <f t="shared" si="49"/>
        <v/>
      </c>
      <c r="E366" s="3" t="str">
        <f>IF(A366="","",(-PPMT(Refinance_Calculator!$C$26/12,'Internal Working'!A366,Refinance_Calculator!$C$29,Refinance_Calculator!$C$23,0,0)))</f>
        <v/>
      </c>
      <c r="F366" s="3" t="str">
        <f t="shared" si="50"/>
        <v/>
      </c>
      <c r="G366" s="5" t="str">
        <f t="shared" si="51"/>
        <v/>
      </c>
      <c r="H366" s="36" t="str">
        <f t="shared" si="52"/>
        <v/>
      </c>
      <c r="I366" s="37" t="str">
        <f ca="1">+IF(A366 &lt;= $L$2, (Full_Report!C446-'Internal Working'!C366),"")</f>
        <v/>
      </c>
      <c r="J366" s="37" t="str">
        <f t="shared" ca="1" si="46"/>
        <v>0</v>
      </c>
      <c r="K366" s="35" t="str">
        <f t="shared" si="47"/>
        <v>0</v>
      </c>
      <c r="L366" s="35" t="str">
        <f t="shared" si="45"/>
        <v/>
      </c>
      <c r="M366" s="2"/>
    </row>
    <row r="367" spans="1:13" x14ac:dyDescent="0.25">
      <c r="A367" s="1" t="str">
        <f>IF(OR(A366="",F366=0,A366=Refinance_Calculator!$C$29),"",A366+1)</f>
        <v/>
      </c>
      <c r="B367" s="3" t="str">
        <f t="shared" si="48"/>
        <v/>
      </c>
      <c r="C367" s="3" t="str">
        <f>IF(A367="","",(-PMT(Refinance_Calculator!$C$26/12,Refinance_Calculator!$C$29,Refinance_Calculator!$C$23,0,0)))</f>
        <v/>
      </c>
      <c r="D367" s="3" t="str">
        <f t="shared" si="49"/>
        <v/>
      </c>
      <c r="E367" s="3" t="str">
        <f>IF(A367="","",(-PPMT(Refinance_Calculator!$C$26/12,'Internal Working'!A367,Refinance_Calculator!$C$29,Refinance_Calculator!$C$23,0,0)))</f>
        <v/>
      </c>
      <c r="F367" s="3" t="str">
        <f t="shared" si="50"/>
        <v/>
      </c>
      <c r="G367" s="5" t="str">
        <f t="shared" si="51"/>
        <v/>
      </c>
      <c r="H367" s="36" t="str">
        <f t="shared" si="52"/>
        <v/>
      </c>
      <c r="I367" s="37" t="str">
        <f ca="1">+IF(A367 &lt;= $L$2, (Full_Report!C447-'Internal Working'!C367),"")</f>
        <v/>
      </c>
      <c r="J367" s="37" t="str">
        <f t="shared" ca="1" si="46"/>
        <v>0</v>
      </c>
      <c r="K367" s="35" t="str">
        <f t="shared" si="47"/>
        <v>0</v>
      </c>
      <c r="L367" s="35" t="str">
        <f t="shared" si="45"/>
        <v/>
      </c>
      <c r="M367" s="2"/>
    </row>
    <row r="368" spans="1:13" x14ac:dyDescent="0.25">
      <c r="A368" s="1" t="str">
        <f>IF(OR(A367="",F367=0,A367=Refinance_Calculator!$C$29),"",A367+1)</f>
        <v/>
      </c>
      <c r="B368" s="3" t="str">
        <f t="shared" si="48"/>
        <v/>
      </c>
      <c r="C368" s="3" t="str">
        <f>IF(A368="","",(-PMT(Refinance_Calculator!$C$26/12,Refinance_Calculator!$C$29,Refinance_Calculator!$C$23,0,0)))</f>
        <v/>
      </c>
      <c r="D368" s="3" t="str">
        <f t="shared" si="49"/>
        <v/>
      </c>
      <c r="E368" s="3" t="str">
        <f>IF(A368="","",(-PPMT(Refinance_Calculator!$C$26/12,'Internal Working'!A368,Refinance_Calculator!$C$29,Refinance_Calculator!$C$23,0,0)))</f>
        <v/>
      </c>
      <c r="F368" s="3" t="str">
        <f t="shared" si="50"/>
        <v/>
      </c>
      <c r="G368" s="5" t="str">
        <f t="shared" si="51"/>
        <v/>
      </c>
      <c r="H368" s="36" t="str">
        <f t="shared" si="52"/>
        <v/>
      </c>
      <c r="I368" s="37" t="str">
        <f ca="1">+IF(A368 &lt;= $L$2, (Full_Report!C448-'Internal Working'!C368),"")</f>
        <v/>
      </c>
      <c r="J368" s="37" t="str">
        <f t="shared" ca="1" si="46"/>
        <v>0</v>
      </c>
      <c r="K368" s="35" t="str">
        <f t="shared" si="47"/>
        <v>0</v>
      </c>
      <c r="L368" s="35" t="str">
        <f t="shared" si="45"/>
        <v/>
      </c>
      <c r="M368" s="2"/>
    </row>
    <row r="369" spans="1:13" x14ac:dyDescent="0.25">
      <c r="A369" s="1" t="str">
        <f>IF(OR(A368="",F368=0,A368=Refinance_Calculator!$C$29),"",A368+1)</f>
        <v/>
      </c>
      <c r="B369" s="3" t="str">
        <f t="shared" si="48"/>
        <v/>
      </c>
      <c r="C369" s="3" t="str">
        <f>IF(A369="","",(-PMT(Refinance_Calculator!$C$26/12,Refinance_Calculator!$C$29,Refinance_Calculator!$C$23,0,0)))</f>
        <v/>
      </c>
      <c r="D369" s="3" t="str">
        <f t="shared" si="49"/>
        <v/>
      </c>
      <c r="E369" s="3" t="str">
        <f>IF(A369="","",(-PPMT(Refinance_Calculator!$C$26/12,'Internal Working'!A369,Refinance_Calculator!$C$29,Refinance_Calculator!$C$23,0,0)))</f>
        <v/>
      </c>
      <c r="F369" s="3" t="str">
        <f t="shared" si="50"/>
        <v/>
      </c>
      <c r="G369" s="5" t="str">
        <f t="shared" si="51"/>
        <v/>
      </c>
      <c r="H369" s="36" t="str">
        <f t="shared" si="52"/>
        <v/>
      </c>
      <c r="I369" s="37" t="str">
        <f ca="1">+IF(A369 &lt;= $L$2, (Full_Report!C449-'Internal Working'!C369),"")</f>
        <v/>
      </c>
      <c r="J369" s="37" t="str">
        <f t="shared" ca="1" si="46"/>
        <v>0</v>
      </c>
      <c r="K369" s="35" t="str">
        <f t="shared" si="47"/>
        <v>0</v>
      </c>
      <c r="L369" s="35" t="str">
        <f t="shared" si="45"/>
        <v/>
      </c>
      <c r="M369" s="2"/>
    </row>
    <row r="370" spans="1:13" x14ac:dyDescent="0.25">
      <c r="A370" s="1" t="str">
        <f>IF(OR(A369="",F369=0,A369=Refinance_Calculator!$C$29),"",A369+1)</f>
        <v/>
      </c>
      <c r="B370" s="3" t="str">
        <f t="shared" si="48"/>
        <v/>
      </c>
      <c r="C370" s="3" t="str">
        <f>IF(A370="","",(-PMT(Refinance_Calculator!$C$26/12,Refinance_Calculator!$C$29,Refinance_Calculator!$C$23,0,0)))</f>
        <v/>
      </c>
      <c r="D370" s="3" t="str">
        <f t="shared" si="49"/>
        <v/>
      </c>
      <c r="E370" s="3" t="str">
        <f>IF(A370="","",(-PPMT(Refinance_Calculator!$C$26/12,'Internal Working'!A370,Refinance_Calculator!$C$29,Refinance_Calculator!$C$23,0,0)))</f>
        <v/>
      </c>
      <c r="F370" s="3" t="str">
        <f t="shared" si="50"/>
        <v/>
      </c>
      <c r="G370" s="5" t="str">
        <f t="shared" si="51"/>
        <v/>
      </c>
      <c r="H370" s="36" t="str">
        <f t="shared" si="52"/>
        <v/>
      </c>
      <c r="I370" s="37" t="str">
        <f ca="1">+IF(A370 &lt;= $L$2, (Full_Report!C450-'Internal Working'!C370),"")</f>
        <v/>
      </c>
      <c r="J370" s="37" t="str">
        <f t="shared" ca="1" si="46"/>
        <v>0</v>
      </c>
      <c r="K370" s="35" t="str">
        <f t="shared" si="47"/>
        <v>0</v>
      </c>
      <c r="L370" s="35" t="str">
        <f t="shared" si="45"/>
        <v/>
      </c>
      <c r="M370" s="2"/>
    </row>
    <row r="371" spans="1:13" x14ac:dyDescent="0.25">
      <c r="A371" s="1" t="str">
        <f>IF(OR(A370="",F370=0,A370=Refinance_Calculator!$C$29),"",A370+1)</f>
        <v/>
      </c>
      <c r="B371" s="3" t="str">
        <f t="shared" si="48"/>
        <v/>
      </c>
      <c r="C371" s="3" t="str">
        <f>IF(A371="","",(-PMT(Refinance_Calculator!$C$26/12,Refinance_Calculator!$C$29,Refinance_Calculator!$C$23,0,0)))</f>
        <v/>
      </c>
      <c r="D371" s="3" t="str">
        <f t="shared" si="49"/>
        <v/>
      </c>
      <c r="E371" s="3" t="str">
        <f>IF(A371="","",(-PPMT(Refinance_Calculator!$C$26/12,'Internal Working'!A371,Refinance_Calculator!$C$29,Refinance_Calculator!$C$23,0,0)))</f>
        <v/>
      </c>
      <c r="F371" s="3" t="str">
        <f t="shared" si="50"/>
        <v/>
      </c>
      <c r="G371" s="5" t="str">
        <f t="shared" si="51"/>
        <v/>
      </c>
      <c r="H371" s="36" t="str">
        <f t="shared" si="52"/>
        <v/>
      </c>
      <c r="I371" s="37" t="str">
        <f ca="1">+IF(A371 &lt;= $L$2, (Full_Report!C451-'Internal Working'!C371),"")</f>
        <v/>
      </c>
      <c r="J371" s="37" t="str">
        <f t="shared" ca="1" si="46"/>
        <v>0</v>
      </c>
      <c r="K371" s="35" t="str">
        <f t="shared" si="47"/>
        <v>0</v>
      </c>
      <c r="L371" s="35" t="str">
        <f t="shared" si="45"/>
        <v/>
      </c>
      <c r="M371" s="2"/>
    </row>
    <row r="372" spans="1:13" x14ac:dyDescent="0.25">
      <c r="A372" s="1" t="str">
        <f>IF(OR(A371="",F371=0,A371=Refinance_Calculator!$C$29),"",A371+1)</f>
        <v/>
      </c>
      <c r="B372" s="3" t="str">
        <f t="shared" si="48"/>
        <v/>
      </c>
      <c r="C372" s="3" t="str">
        <f>IF(A372="","",(-PMT(Refinance_Calculator!$C$26/12,Refinance_Calculator!$C$29,Refinance_Calculator!$C$23,0,0)))</f>
        <v/>
      </c>
      <c r="D372" s="3" t="str">
        <f t="shared" si="49"/>
        <v/>
      </c>
      <c r="E372" s="3" t="str">
        <f>IF(A372="","",(-PPMT(Refinance_Calculator!$C$26/12,'Internal Working'!A372,Refinance_Calculator!$C$29,Refinance_Calculator!$C$23,0,0)))</f>
        <v/>
      </c>
      <c r="F372" s="3" t="str">
        <f t="shared" si="50"/>
        <v/>
      </c>
      <c r="G372" s="5" t="str">
        <f t="shared" si="51"/>
        <v/>
      </c>
      <c r="H372" s="36" t="str">
        <f t="shared" si="52"/>
        <v/>
      </c>
      <c r="I372" s="37" t="str">
        <f ca="1">+IF(A372 &lt;= $L$2, (Full_Report!C452-'Internal Working'!C372),"")</f>
        <v/>
      </c>
      <c r="J372" s="37" t="str">
        <f t="shared" ca="1" si="46"/>
        <v>0</v>
      </c>
      <c r="K372" s="35" t="str">
        <f t="shared" si="47"/>
        <v>0</v>
      </c>
      <c r="L372" s="35" t="str">
        <f t="shared" si="45"/>
        <v/>
      </c>
      <c r="M372" s="2"/>
    </row>
    <row r="373" spans="1:13" x14ac:dyDescent="0.25">
      <c r="A373" s="1" t="str">
        <f>IF(OR(A372="",F372=0,A372=Refinance_Calculator!$C$29),"",A372+1)</f>
        <v/>
      </c>
      <c r="B373" s="3" t="str">
        <f t="shared" si="48"/>
        <v/>
      </c>
      <c r="C373" s="3" t="str">
        <f>IF(A373="","",(-PMT(Refinance_Calculator!$C$26/12,Refinance_Calculator!$C$29,Refinance_Calculator!$C$23,0,0)))</f>
        <v/>
      </c>
      <c r="D373" s="3" t="str">
        <f t="shared" si="49"/>
        <v/>
      </c>
      <c r="E373" s="3" t="str">
        <f>IF(A373="","",(-PPMT(Refinance_Calculator!$C$26/12,'Internal Working'!A373,Refinance_Calculator!$C$29,Refinance_Calculator!$C$23,0,0)))</f>
        <v/>
      </c>
      <c r="F373" s="3" t="str">
        <f t="shared" si="50"/>
        <v/>
      </c>
      <c r="G373" s="5" t="str">
        <f t="shared" si="51"/>
        <v/>
      </c>
      <c r="H373" s="36" t="str">
        <f t="shared" si="52"/>
        <v/>
      </c>
      <c r="I373" s="37" t="str">
        <f ca="1">+IF(A373 &lt;= $L$2, (Full_Report!C453-'Internal Working'!C373),"")</f>
        <v/>
      </c>
      <c r="J373" s="37" t="str">
        <f t="shared" ca="1" si="46"/>
        <v>0</v>
      </c>
      <c r="K373" s="35" t="str">
        <f t="shared" si="47"/>
        <v>0</v>
      </c>
      <c r="L373" s="35" t="str">
        <f t="shared" si="45"/>
        <v/>
      </c>
      <c r="M373" s="2"/>
    </row>
    <row r="374" spans="1:13" x14ac:dyDescent="0.25">
      <c r="A374" s="1" t="str">
        <f>IF(OR(A373="",F373=0,A373=Refinance_Calculator!$C$29),"",A373+1)</f>
        <v/>
      </c>
      <c r="B374" s="3" t="str">
        <f t="shared" si="48"/>
        <v/>
      </c>
      <c r="C374" s="3" t="str">
        <f>IF(A374="","",(-PMT(Refinance_Calculator!$C$26/12,Refinance_Calculator!$C$29,Refinance_Calculator!$C$23,0,0)))</f>
        <v/>
      </c>
      <c r="D374" s="3" t="str">
        <f t="shared" si="49"/>
        <v/>
      </c>
      <c r="E374" s="3" t="str">
        <f>IF(A374="","",(-PPMT(Refinance_Calculator!$C$26/12,'Internal Working'!A374,Refinance_Calculator!$C$29,Refinance_Calculator!$C$23,0,0)))</f>
        <v/>
      </c>
      <c r="F374" s="3" t="str">
        <f t="shared" si="50"/>
        <v/>
      </c>
      <c r="G374" s="5" t="str">
        <f t="shared" si="51"/>
        <v/>
      </c>
      <c r="H374" s="36" t="str">
        <f t="shared" si="52"/>
        <v/>
      </c>
      <c r="I374" s="37" t="str">
        <f ca="1">+IF(A374 &lt;= $L$2, (Full_Report!C454-'Internal Working'!C374),"")</f>
        <v/>
      </c>
      <c r="J374" s="37" t="str">
        <f t="shared" ca="1" si="46"/>
        <v>0</v>
      </c>
      <c r="K374" s="35" t="str">
        <f t="shared" si="47"/>
        <v>0</v>
      </c>
      <c r="L374" s="35" t="str">
        <f t="shared" si="45"/>
        <v/>
      </c>
      <c r="M374" s="2"/>
    </row>
    <row r="375" spans="1:13" x14ac:dyDescent="0.25">
      <c r="A375" s="1" t="str">
        <f>IF(OR(A374="",F374=0,A374=Refinance_Calculator!$C$29),"",A374+1)</f>
        <v/>
      </c>
      <c r="B375" s="3" t="str">
        <f t="shared" si="48"/>
        <v/>
      </c>
      <c r="C375" s="3" t="str">
        <f>IF(A375="","",(-PMT(Refinance_Calculator!$C$26/12,Refinance_Calculator!$C$29,Refinance_Calculator!$C$23,0,0)))</f>
        <v/>
      </c>
      <c r="D375" s="3" t="str">
        <f t="shared" si="49"/>
        <v/>
      </c>
      <c r="E375" s="3" t="str">
        <f>IF(A375="","",(-PPMT(Refinance_Calculator!$C$26/12,'Internal Working'!A375,Refinance_Calculator!$C$29,Refinance_Calculator!$C$23,0,0)))</f>
        <v/>
      </c>
      <c r="F375" s="3" t="str">
        <f t="shared" si="50"/>
        <v/>
      </c>
      <c r="G375" s="5" t="str">
        <f t="shared" si="51"/>
        <v/>
      </c>
      <c r="H375" s="36" t="str">
        <f t="shared" si="52"/>
        <v/>
      </c>
      <c r="I375" s="37" t="str">
        <f ca="1">+IF(A375 &lt;= $L$2, (Full_Report!C455-'Internal Working'!C375),"")</f>
        <v/>
      </c>
      <c r="J375" s="37" t="str">
        <f t="shared" ca="1" si="46"/>
        <v>0</v>
      </c>
      <c r="K375" s="35" t="str">
        <f t="shared" si="47"/>
        <v>0</v>
      </c>
      <c r="L375" s="35" t="str">
        <f t="shared" si="45"/>
        <v/>
      </c>
      <c r="M375" s="2"/>
    </row>
    <row r="376" spans="1:13" x14ac:dyDescent="0.25">
      <c r="A376" s="1" t="str">
        <f>IF(OR(A375="",F375=0,A375=Refinance_Calculator!$C$29),"",A375+1)</f>
        <v/>
      </c>
      <c r="B376" s="3" t="str">
        <f t="shared" si="48"/>
        <v/>
      </c>
      <c r="C376" s="3" t="str">
        <f>IF(A376="","",(-PMT(Refinance_Calculator!$C$26/12,Refinance_Calculator!$C$29,Refinance_Calculator!$C$23,0,0)))</f>
        <v/>
      </c>
      <c r="D376" s="3" t="str">
        <f t="shared" si="49"/>
        <v/>
      </c>
      <c r="E376" s="3" t="str">
        <f>IF(A376="","",(-PPMT(Refinance_Calculator!$C$26/12,'Internal Working'!A376,Refinance_Calculator!$C$29,Refinance_Calculator!$C$23,0,0)))</f>
        <v/>
      </c>
      <c r="F376" s="3" t="str">
        <f t="shared" si="50"/>
        <v/>
      </c>
      <c r="G376" s="5" t="str">
        <f t="shared" si="51"/>
        <v/>
      </c>
      <c r="H376" s="36" t="str">
        <f t="shared" si="52"/>
        <v/>
      </c>
      <c r="I376" s="37" t="str">
        <f ca="1">+IF(A376 &lt;= $L$2, (Full_Report!C456-'Internal Working'!C376),"")</f>
        <v/>
      </c>
      <c r="J376" s="37" t="str">
        <f t="shared" ca="1" si="46"/>
        <v>0</v>
      </c>
      <c r="K376" s="35" t="str">
        <f t="shared" si="47"/>
        <v>0</v>
      </c>
      <c r="L376" s="35" t="str">
        <f t="shared" si="45"/>
        <v/>
      </c>
      <c r="M376" s="2"/>
    </row>
    <row r="377" spans="1:13" x14ac:dyDescent="0.25">
      <c r="A377" s="1" t="str">
        <f>IF(OR(A376="",F376=0,A376=Refinance_Calculator!$C$29),"",A376+1)</f>
        <v/>
      </c>
      <c r="B377" s="3" t="str">
        <f t="shared" si="48"/>
        <v/>
      </c>
      <c r="C377" s="3" t="str">
        <f>IF(A377="","",(-PMT(Refinance_Calculator!$C$26/12,Refinance_Calculator!$C$29,Refinance_Calculator!$C$23,0,0)))</f>
        <v/>
      </c>
      <c r="D377" s="3" t="str">
        <f t="shared" si="49"/>
        <v/>
      </c>
      <c r="E377" s="3" t="str">
        <f>IF(A377="","",(-PPMT(Refinance_Calculator!$C$26/12,'Internal Working'!A377,Refinance_Calculator!$C$29,Refinance_Calculator!$C$23,0,0)))</f>
        <v/>
      </c>
      <c r="F377" s="3" t="str">
        <f t="shared" si="50"/>
        <v/>
      </c>
      <c r="G377" s="5" t="str">
        <f t="shared" si="51"/>
        <v/>
      </c>
      <c r="H377" s="36" t="str">
        <f t="shared" si="52"/>
        <v/>
      </c>
      <c r="I377" s="37" t="str">
        <f ca="1">+IF(A377 &lt;= $L$2, (Full_Report!C457-'Internal Working'!C377),"")</f>
        <v/>
      </c>
      <c r="J377" s="37" t="str">
        <f t="shared" ca="1" si="46"/>
        <v>0</v>
      </c>
      <c r="K377" s="35" t="str">
        <f t="shared" si="47"/>
        <v>0</v>
      </c>
      <c r="L377" s="35" t="str">
        <f t="shared" si="45"/>
        <v/>
      </c>
      <c r="M377" s="2"/>
    </row>
    <row r="378" spans="1:13" x14ac:dyDescent="0.25">
      <c r="A378" s="1" t="str">
        <f>IF(OR(A377="",F377=0,A377=Refinance_Calculator!$C$29),"",A377+1)</f>
        <v/>
      </c>
      <c r="B378" s="3" t="str">
        <f t="shared" si="48"/>
        <v/>
      </c>
      <c r="C378" s="3" t="str">
        <f>IF(A378="","",(-PMT(Refinance_Calculator!$C$26/12,Refinance_Calculator!$C$29,Refinance_Calculator!$C$23,0,0)))</f>
        <v/>
      </c>
      <c r="D378" s="3" t="str">
        <f t="shared" si="49"/>
        <v/>
      </c>
      <c r="E378" s="3" t="str">
        <f>IF(A378="","",(-PPMT(Refinance_Calculator!$C$26/12,'Internal Working'!A378,Refinance_Calculator!$C$29,Refinance_Calculator!$C$23,0,0)))</f>
        <v/>
      </c>
      <c r="F378" s="3" t="str">
        <f t="shared" si="50"/>
        <v/>
      </c>
      <c r="G378" s="5" t="str">
        <f t="shared" si="51"/>
        <v/>
      </c>
      <c r="H378" s="36" t="str">
        <f t="shared" si="52"/>
        <v/>
      </c>
      <c r="I378" s="37" t="str">
        <f ca="1">+IF(A378 &lt;= $L$2, (Full_Report!C458-'Internal Working'!C378),"")</f>
        <v/>
      </c>
      <c r="J378" s="37" t="str">
        <f t="shared" ca="1" si="46"/>
        <v>0</v>
      </c>
      <c r="K378" s="35" t="str">
        <f t="shared" si="47"/>
        <v>0</v>
      </c>
      <c r="L378" s="35" t="str">
        <f t="shared" si="45"/>
        <v/>
      </c>
      <c r="M378" s="2"/>
    </row>
    <row r="379" spans="1:13" x14ac:dyDescent="0.25">
      <c r="A379" s="1" t="str">
        <f>IF(OR(A378="",F378=0,A378=Refinance_Calculator!$C$29),"",A378+1)</f>
        <v/>
      </c>
      <c r="B379" s="3" t="str">
        <f t="shared" si="48"/>
        <v/>
      </c>
      <c r="C379" s="3" t="str">
        <f>IF(A379="","",(-PMT(Refinance_Calculator!$C$26/12,Refinance_Calculator!$C$29,Refinance_Calculator!$C$23,0,0)))</f>
        <v/>
      </c>
      <c r="D379" s="3" t="str">
        <f t="shared" si="49"/>
        <v/>
      </c>
      <c r="E379" s="3" t="str">
        <f>IF(A379="","",(-PPMT(Refinance_Calculator!$C$26/12,'Internal Working'!A379,Refinance_Calculator!$C$29,Refinance_Calculator!$C$23,0,0)))</f>
        <v/>
      </c>
      <c r="F379" s="3" t="str">
        <f t="shared" si="50"/>
        <v/>
      </c>
      <c r="G379" s="5" t="str">
        <f t="shared" si="51"/>
        <v/>
      </c>
      <c r="H379" s="36" t="str">
        <f t="shared" si="52"/>
        <v/>
      </c>
      <c r="I379" s="37" t="str">
        <f ca="1">+IF(A379 &lt;= $L$2, (Full_Report!C459-'Internal Working'!C379),"")</f>
        <v/>
      </c>
      <c r="J379" s="37" t="str">
        <f t="shared" ca="1" si="46"/>
        <v>0</v>
      </c>
      <c r="K379" s="35" t="str">
        <f t="shared" si="47"/>
        <v>0</v>
      </c>
      <c r="L379" s="35" t="str">
        <f t="shared" si="45"/>
        <v/>
      </c>
      <c r="M379" s="2"/>
    </row>
    <row r="380" spans="1:13" x14ac:dyDescent="0.25">
      <c r="A380" s="1" t="str">
        <f>IF(OR(A379="",F379=0,A379=Refinance_Calculator!$C$29),"",A379+1)</f>
        <v/>
      </c>
      <c r="B380" s="3" t="str">
        <f t="shared" si="48"/>
        <v/>
      </c>
      <c r="C380" s="3" t="str">
        <f>IF(A380="","",(-PMT(Refinance_Calculator!$C$26/12,Refinance_Calculator!$C$29,Refinance_Calculator!$C$23,0,0)))</f>
        <v/>
      </c>
      <c r="D380" s="3" t="str">
        <f t="shared" si="49"/>
        <v/>
      </c>
      <c r="E380" s="3" t="str">
        <f>IF(A380="","",(-PPMT(Refinance_Calculator!$C$26/12,'Internal Working'!A380,Refinance_Calculator!$C$29,Refinance_Calculator!$C$23,0,0)))</f>
        <v/>
      </c>
      <c r="F380" s="3" t="str">
        <f t="shared" si="50"/>
        <v/>
      </c>
      <c r="G380" s="5" t="str">
        <f t="shared" si="51"/>
        <v/>
      </c>
      <c r="H380" s="36" t="str">
        <f t="shared" si="52"/>
        <v/>
      </c>
      <c r="I380" s="37" t="str">
        <f ca="1">+IF(A380 &lt;= $L$2, (Full_Report!C460-'Internal Working'!C380),"")</f>
        <v/>
      </c>
      <c r="J380" s="37" t="str">
        <f t="shared" ca="1" si="46"/>
        <v>0</v>
      </c>
      <c r="K380" s="35" t="str">
        <f t="shared" si="47"/>
        <v>0</v>
      </c>
      <c r="L380" s="35" t="str">
        <f t="shared" si="45"/>
        <v/>
      </c>
      <c r="M380" s="2"/>
    </row>
    <row r="381" spans="1:13" x14ac:dyDescent="0.25">
      <c r="A381" s="1" t="str">
        <f>IF(OR(A380="",F380=0,A380=Refinance_Calculator!$C$29),"",A380+1)</f>
        <v/>
      </c>
      <c r="B381" s="3" t="str">
        <f t="shared" si="48"/>
        <v/>
      </c>
      <c r="C381" s="3" t="str">
        <f>IF(A381="","",(-PMT(Refinance_Calculator!$C$26/12,Refinance_Calculator!$C$29,Refinance_Calculator!$C$23,0,0)))</f>
        <v/>
      </c>
      <c r="D381" s="3" t="str">
        <f t="shared" si="49"/>
        <v/>
      </c>
      <c r="E381" s="3" t="str">
        <f>IF(A381="","",(-PPMT(Refinance_Calculator!$C$26/12,'Internal Working'!A381,Refinance_Calculator!$C$29,Refinance_Calculator!$C$23,0,0)))</f>
        <v/>
      </c>
      <c r="F381" s="3" t="str">
        <f t="shared" si="50"/>
        <v/>
      </c>
      <c r="G381" s="5" t="str">
        <f t="shared" si="51"/>
        <v/>
      </c>
      <c r="H381" s="36" t="str">
        <f t="shared" si="52"/>
        <v/>
      </c>
      <c r="I381" s="37" t="str">
        <f ca="1">+IF(A381 &lt;= $L$2, (Full_Report!C461-'Internal Working'!C381),"")</f>
        <v/>
      </c>
      <c r="J381" s="37" t="str">
        <f t="shared" ca="1" si="46"/>
        <v>0</v>
      </c>
      <c r="K381" s="35" t="str">
        <f t="shared" si="47"/>
        <v>0</v>
      </c>
      <c r="L381" s="35" t="str">
        <f t="shared" si="45"/>
        <v/>
      </c>
      <c r="M381" s="2"/>
    </row>
    <row r="382" spans="1:13" x14ac:dyDescent="0.25">
      <c r="A382" s="1" t="str">
        <f>IF(OR(A381="",F381=0,A381=Refinance_Calculator!$C$29),"",A381+1)</f>
        <v/>
      </c>
      <c r="B382" s="3" t="str">
        <f t="shared" si="48"/>
        <v/>
      </c>
      <c r="C382" s="3" t="str">
        <f>IF(A382="","",(-PMT(Refinance_Calculator!$C$26/12,Refinance_Calculator!$C$29,Refinance_Calculator!$C$23,0,0)))</f>
        <v/>
      </c>
      <c r="D382" s="3" t="str">
        <f t="shared" si="49"/>
        <v/>
      </c>
      <c r="E382" s="3" t="str">
        <f>IF(A382="","",(-PPMT(Refinance_Calculator!$C$26/12,'Internal Working'!A382,Refinance_Calculator!$C$29,Refinance_Calculator!$C$23,0,0)))</f>
        <v/>
      </c>
      <c r="F382" s="3" t="str">
        <f t="shared" si="50"/>
        <v/>
      </c>
      <c r="G382" s="5" t="str">
        <f t="shared" si="51"/>
        <v/>
      </c>
      <c r="H382" s="36" t="str">
        <f t="shared" si="52"/>
        <v/>
      </c>
      <c r="I382" s="37" t="str">
        <f ca="1">+IF(A382 &lt;= $L$2, (Full_Report!C462-'Internal Working'!C382),"")</f>
        <v/>
      </c>
      <c r="J382" s="37" t="str">
        <f t="shared" ca="1" si="46"/>
        <v>0</v>
      </c>
      <c r="K382" s="35" t="str">
        <f t="shared" si="47"/>
        <v>0</v>
      </c>
      <c r="L382" s="35" t="str">
        <f t="shared" si="45"/>
        <v/>
      </c>
      <c r="M382" s="2"/>
    </row>
    <row r="383" spans="1:13" x14ac:dyDescent="0.25">
      <c r="A383" s="1" t="str">
        <f>IF(OR(A382="",F382=0,A382=Refinance_Calculator!$C$29),"",A382+1)</f>
        <v/>
      </c>
      <c r="B383" s="3" t="str">
        <f t="shared" si="48"/>
        <v/>
      </c>
      <c r="C383" s="3" t="str">
        <f>IF(A383="","",(-PMT(Refinance_Calculator!$C$26/12,Refinance_Calculator!$C$29,Refinance_Calculator!$C$23,0,0)))</f>
        <v/>
      </c>
      <c r="D383" s="3" t="str">
        <f t="shared" si="49"/>
        <v/>
      </c>
      <c r="E383" s="3" t="str">
        <f>IF(A383="","",(-PPMT(Refinance_Calculator!$C$26/12,'Internal Working'!A383,Refinance_Calculator!$C$29,Refinance_Calculator!$C$23,0,0)))</f>
        <v/>
      </c>
      <c r="F383" s="3" t="str">
        <f t="shared" si="50"/>
        <v/>
      </c>
      <c r="G383" s="5" t="str">
        <f t="shared" si="51"/>
        <v/>
      </c>
      <c r="H383" s="36" t="str">
        <f t="shared" si="52"/>
        <v/>
      </c>
      <c r="I383" s="37" t="str">
        <f ca="1">+IF(A383 &lt;= $L$2, (Full_Report!C463-'Internal Working'!C383),"")</f>
        <v/>
      </c>
      <c r="J383" s="37" t="str">
        <f t="shared" ca="1" si="46"/>
        <v>0</v>
      </c>
      <c r="K383" s="35" t="str">
        <f t="shared" si="47"/>
        <v>0</v>
      </c>
      <c r="L383" s="35" t="str">
        <f t="shared" si="45"/>
        <v/>
      </c>
      <c r="M383" s="2"/>
    </row>
    <row r="384" spans="1:13" x14ac:dyDescent="0.25">
      <c r="A384" s="1" t="str">
        <f>IF(OR(A383="",F383=0,A383=Refinance_Calculator!$C$29),"",A383+1)</f>
        <v/>
      </c>
      <c r="B384" s="3" t="str">
        <f t="shared" si="48"/>
        <v/>
      </c>
      <c r="C384" s="3" t="str">
        <f>IF(A384="","",(-PMT(Refinance_Calculator!$C$26/12,Refinance_Calculator!$C$29,Refinance_Calculator!$C$23,0,0)))</f>
        <v/>
      </c>
      <c r="D384" s="3" t="str">
        <f t="shared" si="49"/>
        <v/>
      </c>
      <c r="E384" s="3" t="str">
        <f>IF(A384="","",(-PPMT(Refinance_Calculator!$C$26/12,'Internal Working'!A384,Refinance_Calculator!$C$29,Refinance_Calculator!$C$23,0,0)))</f>
        <v/>
      </c>
      <c r="F384" s="3" t="str">
        <f t="shared" si="50"/>
        <v/>
      </c>
      <c r="G384" s="5" t="str">
        <f t="shared" si="51"/>
        <v/>
      </c>
      <c r="H384" s="36" t="str">
        <f t="shared" si="52"/>
        <v/>
      </c>
      <c r="I384" s="37" t="str">
        <f ca="1">+IF(A384 &lt;= $L$2, (Full_Report!C464-'Internal Working'!C384),"")</f>
        <v/>
      </c>
      <c r="J384" s="37" t="str">
        <f t="shared" ca="1" si="46"/>
        <v>0</v>
      </c>
      <c r="K384" s="35" t="str">
        <f t="shared" si="47"/>
        <v>0</v>
      </c>
      <c r="L384" s="35" t="str">
        <f t="shared" si="45"/>
        <v/>
      </c>
      <c r="M384" s="2"/>
    </row>
    <row r="385" spans="1:13" x14ac:dyDescent="0.25">
      <c r="A385" s="1" t="str">
        <f>IF(OR(A384="",F384=0,A384=Refinance_Calculator!$C$29),"",A384+1)</f>
        <v/>
      </c>
      <c r="B385" s="3" t="str">
        <f t="shared" si="48"/>
        <v/>
      </c>
      <c r="C385" s="3" t="str">
        <f>IF(A385="","",(-PMT(Refinance_Calculator!$C$26/12,Refinance_Calculator!$C$29,Refinance_Calculator!$C$23,0,0)))</f>
        <v/>
      </c>
      <c r="D385" s="3" t="str">
        <f t="shared" si="49"/>
        <v/>
      </c>
      <c r="E385" s="3" t="str">
        <f>IF(A385="","",(-PPMT(Refinance_Calculator!$C$26/12,'Internal Working'!A385,Refinance_Calculator!$C$29,Refinance_Calculator!$C$23,0,0)))</f>
        <v/>
      </c>
      <c r="F385" s="3" t="str">
        <f t="shared" si="50"/>
        <v/>
      </c>
      <c r="G385" s="5" t="str">
        <f t="shared" si="51"/>
        <v/>
      </c>
      <c r="H385" s="36" t="str">
        <f t="shared" si="52"/>
        <v/>
      </c>
      <c r="I385" s="37" t="str">
        <f ca="1">+IF(A385 &lt;= $L$2, (Full_Report!C465-'Internal Working'!C385),"")</f>
        <v/>
      </c>
      <c r="J385" s="37" t="str">
        <f t="shared" ca="1" si="46"/>
        <v>0</v>
      </c>
      <c r="K385" s="35" t="str">
        <f t="shared" si="47"/>
        <v>0</v>
      </c>
      <c r="L385" s="35" t="str">
        <f t="shared" si="45"/>
        <v/>
      </c>
      <c r="M385" s="2"/>
    </row>
    <row r="386" spans="1:13" x14ac:dyDescent="0.25">
      <c r="A386" s="1" t="str">
        <f>IF(OR(A385="",F385=0,A385=Refinance_Calculator!$C$29),"",A385+1)</f>
        <v/>
      </c>
      <c r="B386" s="3" t="str">
        <f t="shared" si="48"/>
        <v/>
      </c>
      <c r="C386" s="3" t="str">
        <f>IF(A386="","",(-PMT(Refinance_Calculator!$C$26/12,Refinance_Calculator!$C$29,Refinance_Calculator!$C$23,0,0)))</f>
        <v/>
      </c>
      <c r="D386" s="3" t="str">
        <f t="shared" si="49"/>
        <v/>
      </c>
      <c r="E386" s="3" t="str">
        <f>IF(A386="","",(-PPMT(Refinance_Calculator!$C$26/12,'Internal Working'!A386,Refinance_Calculator!$C$29,Refinance_Calculator!$C$23,0,0)))</f>
        <v/>
      </c>
      <c r="F386" s="3" t="str">
        <f t="shared" si="50"/>
        <v/>
      </c>
      <c r="G386" s="5" t="str">
        <f t="shared" si="51"/>
        <v/>
      </c>
      <c r="H386" s="36" t="str">
        <f t="shared" si="52"/>
        <v/>
      </c>
      <c r="I386" s="37" t="str">
        <f ca="1">+IF(A386 &lt;= $L$2, (Full_Report!C466-'Internal Working'!C386),"")</f>
        <v/>
      </c>
      <c r="J386" s="37" t="str">
        <f t="shared" ca="1" si="46"/>
        <v>0</v>
      </c>
      <c r="K386" s="35" t="str">
        <f t="shared" si="47"/>
        <v>0</v>
      </c>
      <c r="L386" s="35" t="str">
        <f t="shared" si="45"/>
        <v/>
      </c>
      <c r="M386" s="2"/>
    </row>
    <row r="387" spans="1:13" x14ac:dyDescent="0.25">
      <c r="A387" s="1" t="str">
        <f>IF(OR(A386="",F386=0,A386=Refinance_Calculator!$C$29),"",A386+1)</f>
        <v/>
      </c>
      <c r="B387" s="3" t="str">
        <f t="shared" si="48"/>
        <v/>
      </c>
      <c r="C387" s="3" t="str">
        <f>IF(A387="","",(-PMT(Refinance_Calculator!$C$26/12,Refinance_Calculator!$C$29,Refinance_Calculator!$C$23,0,0)))</f>
        <v/>
      </c>
      <c r="D387" s="3" t="str">
        <f t="shared" si="49"/>
        <v/>
      </c>
      <c r="E387" s="3" t="str">
        <f>IF(A387="","",(-PPMT(Refinance_Calculator!$C$26/12,'Internal Working'!A387,Refinance_Calculator!$C$29,Refinance_Calculator!$C$23,0,0)))</f>
        <v/>
      </c>
      <c r="F387" s="3" t="str">
        <f t="shared" si="50"/>
        <v/>
      </c>
      <c r="G387" s="5" t="str">
        <f t="shared" si="51"/>
        <v/>
      </c>
      <c r="H387" s="36" t="str">
        <f t="shared" si="52"/>
        <v/>
      </c>
      <c r="I387" s="37" t="str">
        <f ca="1">+IF(A387 &lt;= $L$2, (Full_Report!C467-'Internal Working'!C387),"")</f>
        <v/>
      </c>
      <c r="J387" s="37" t="str">
        <f t="shared" ca="1" si="46"/>
        <v>0</v>
      </c>
      <c r="K387" s="35" t="str">
        <f t="shared" si="47"/>
        <v>0</v>
      </c>
      <c r="L387" s="35" t="str">
        <f t="shared" si="45"/>
        <v/>
      </c>
      <c r="M387" s="2"/>
    </row>
    <row r="388" spans="1:13" x14ac:dyDescent="0.25">
      <c r="A388" s="1" t="str">
        <f>IF(OR(A387="",F387=0,A387=Refinance_Calculator!$C$29),"",A387+1)</f>
        <v/>
      </c>
      <c r="B388" s="3" t="str">
        <f t="shared" si="48"/>
        <v/>
      </c>
      <c r="C388" s="3" t="str">
        <f>IF(A388="","",(-PMT(Refinance_Calculator!$C$26/12,Refinance_Calculator!$C$29,Refinance_Calculator!$C$23,0,0)))</f>
        <v/>
      </c>
      <c r="D388" s="3" t="str">
        <f t="shared" si="49"/>
        <v/>
      </c>
      <c r="E388" s="3" t="str">
        <f>IF(A388="","",(-PPMT(Refinance_Calculator!$C$26/12,'Internal Working'!A388,Refinance_Calculator!$C$29,Refinance_Calculator!$C$23,0,0)))</f>
        <v/>
      </c>
      <c r="F388" s="3" t="str">
        <f t="shared" si="50"/>
        <v/>
      </c>
      <c r="G388" s="5" t="str">
        <f t="shared" si="51"/>
        <v/>
      </c>
      <c r="H388" s="36" t="str">
        <f t="shared" si="52"/>
        <v/>
      </c>
      <c r="I388" s="37" t="str">
        <f ca="1">+IF(A388 &lt;= $L$2, (Full_Report!C468-'Internal Working'!C388),"")</f>
        <v/>
      </c>
      <c r="J388" s="37" t="str">
        <f t="shared" ca="1" si="46"/>
        <v>0</v>
      </c>
      <c r="K388" s="35" t="str">
        <f t="shared" si="47"/>
        <v>0</v>
      </c>
      <c r="L388" s="35" t="str">
        <f t="shared" si="45"/>
        <v/>
      </c>
      <c r="M388" s="2"/>
    </row>
    <row r="389" spans="1:13" x14ac:dyDescent="0.25">
      <c r="A389" s="1" t="str">
        <f>IF(OR(A388="",F388=0,A388=Refinance_Calculator!$C$29),"",A388+1)</f>
        <v/>
      </c>
      <c r="B389" s="3" t="str">
        <f t="shared" si="48"/>
        <v/>
      </c>
      <c r="C389" s="3" t="str">
        <f>IF(A389="","",(-PMT(Refinance_Calculator!$C$26/12,Refinance_Calculator!$C$29,Refinance_Calculator!$C$23,0,0)))</f>
        <v/>
      </c>
      <c r="D389" s="3" t="str">
        <f t="shared" si="49"/>
        <v/>
      </c>
      <c r="E389" s="3" t="str">
        <f>IF(A389="","",(-PPMT(Refinance_Calculator!$C$26/12,'Internal Working'!A389,Refinance_Calculator!$C$29,Refinance_Calculator!$C$23,0,0)))</f>
        <v/>
      </c>
      <c r="F389" s="3" t="str">
        <f t="shared" si="50"/>
        <v/>
      </c>
      <c r="G389" s="5" t="str">
        <f t="shared" si="51"/>
        <v/>
      </c>
      <c r="H389" s="36" t="str">
        <f t="shared" si="52"/>
        <v/>
      </c>
      <c r="I389" s="37" t="str">
        <f ca="1">+IF(A389 &lt;= $L$2, (Full_Report!C469-'Internal Working'!C389),"")</f>
        <v/>
      </c>
      <c r="J389" s="37" t="str">
        <f t="shared" ca="1" si="46"/>
        <v>0</v>
      </c>
      <c r="K389" s="35" t="str">
        <f t="shared" si="47"/>
        <v>0</v>
      </c>
      <c r="L389" s="35" t="str">
        <f t="shared" si="45"/>
        <v/>
      </c>
      <c r="M389" s="2"/>
    </row>
    <row r="390" spans="1:13" x14ac:dyDescent="0.25">
      <c r="A390" s="1" t="str">
        <f>IF(OR(A389="",F389=0,A389=Refinance_Calculator!$C$29),"",A389+1)</f>
        <v/>
      </c>
      <c r="B390" s="3" t="str">
        <f t="shared" si="48"/>
        <v/>
      </c>
      <c r="C390" s="3" t="str">
        <f>IF(A390="","",(-PMT(Refinance_Calculator!$C$26/12,Refinance_Calculator!$C$29,Refinance_Calculator!$C$23,0,0)))</f>
        <v/>
      </c>
      <c r="D390" s="3" t="str">
        <f t="shared" si="49"/>
        <v/>
      </c>
      <c r="E390" s="3" t="str">
        <f>IF(A390="","",(-PPMT(Refinance_Calculator!$C$26/12,'Internal Working'!A390,Refinance_Calculator!$C$29,Refinance_Calculator!$C$23,0,0)))</f>
        <v/>
      </c>
      <c r="F390" s="3" t="str">
        <f t="shared" si="50"/>
        <v/>
      </c>
      <c r="G390" s="5" t="str">
        <f t="shared" si="51"/>
        <v/>
      </c>
      <c r="H390" s="36" t="str">
        <f t="shared" si="52"/>
        <v/>
      </c>
      <c r="I390" s="37" t="str">
        <f ca="1">+IF(A390 &lt;= $L$2, (Full_Report!C470-'Internal Working'!C390),"")</f>
        <v/>
      </c>
      <c r="J390" s="37" t="str">
        <f t="shared" ca="1" si="46"/>
        <v>0</v>
      </c>
      <c r="K390" s="35" t="str">
        <f t="shared" si="47"/>
        <v>0</v>
      </c>
      <c r="L390" s="35" t="str">
        <f t="shared" si="45"/>
        <v/>
      </c>
      <c r="M390" s="2"/>
    </row>
    <row r="391" spans="1:13" x14ac:dyDescent="0.25">
      <c r="A391" s="1" t="str">
        <f>IF(OR(A390="",F390=0,A390=Refinance_Calculator!$C$29),"",A390+1)</f>
        <v/>
      </c>
      <c r="B391" s="3" t="str">
        <f t="shared" si="48"/>
        <v/>
      </c>
      <c r="C391" s="3" t="str">
        <f>IF(A391="","",(-PMT(Refinance_Calculator!$C$26/12,Refinance_Calculator!$C$29,Refinance_Calculator!$C$23,0,0)))</f>
        <v/>
      </c>
      <c r="D391" s="3" t="str">
        <f t="shared" si="49"/>
        <v/>
      </c>
      <c r="E391" s="3" t="str">
        <f>IF(A391="","",(-PPMT(Refinance_Calculator!$C$26/12,'Internal Working'!A391,Refinance_Calculator!$C$29,Refinance_Calculator!$C$23,0,0)))</f>
        <v/>
      </c>
      <c r="F391" s="3" t="str">
        <f t="shared" si="50"/>
        <v/>
      </c>
      <c r="G391" s="5" t="str">
        <f t="shared" si="51"/>
        <v/>
      </c>
      <c r="H391" s="36" t="str">
        <f t="shared" si="52"/>
        <v/>
      </c>
      <c r="I391" s="37" t="str">
        <f ca="1">+IF(A391 &lt;= $L$2, (Full_Report!C471-'Internal Working'!C391),"")</f>
        <v/>
      </c>
      <c r="J391" s="37" t="str">
        <f t="shared" ca="1" si="46"/>
        <v>0</v>
      </c>
      <c r="K391" s="35" t="str">
        <f t="shared" si="47"/>
        <v>0</v>
      </c>
      <c r="L391" s="35" t="str">
        <f t="shared" ref="L391:L454" si="53">+IF(A391 = "","",(J391+K391))</f>
        <v/>
      </c>
      <c r="M391" s="2"/>
    </row>
    <row r="392" spans="1:13" x14ac:dyDescent="0.25">
      <c r="A392" s="1" t="str">
        <f>IF(OR(A391="",F391=0,A391=Refinance_Calculator!$C$29),"",A391+1)</f>
        <v/>
      </c>
      <c r="B392" s="3" t="str">
        <f t="shared" si="48"/>
        <v/>
      </c>
      <c r="C392" s="3" t="str">
        <f>IF(A392="","",(-PMT(Refinance_Calculator!$C$26/12,Refinance_Calculator!$C$29,Refinance_Calculator!$C$23,0,0)))</f>
        <v/>
      </c>
      <c r="D392" s="3" t="str">
        <f t="shared" si="49"/>
        <v/>
      </c>
      <c r="E392" s="3" t="str">
        <f>IF(A392="","",(-PPMT(Refinance_Calculator!$C$26/12,'Internal Working'!A392,Refinance_Calculator!$C$29,Refinance_Calculator!$C$23,0,0)))</f>
        <v/>
      </c>
      <c r="F392" s="3" t="str">
        <f t="shared" si="50"/>
        <v/>
      </c>
      <c r="G392" s="5" t="str">
        <f t="shared" si="51"/>
        <v/>
      </c>
      <c r="H392" s="36" t="str">
        <f t="shared" si="52"/>
        <v/>
      </c>
      <c r="I392" s="37" t="str">
        <f ca="1">+IF(A392 &lt;= $L$2, (Full_Report!C472-'Internal Working'!C392),"")</f>
        <v/>
      </c>
      <c r="J392" s="37" t="str">
        <f t="shared" ref="J392:J455" ca="1" si="54">IF(I392="","0",(I392+J391))</f>
        <v>0</v>
      </c>
      <c r="K392" s="35" t="str">
        <f t="shared" ref="K392:K455" si="55">+IF(A392="","0",IF(A392&gt;$L$2,(K391-C392),"0"))</f>
        <v>0</v>
      </c>
      <c r="L392" s="35" t="str">
        <f t="shared" si="53"/>
        <v/>
      </c>
      <c r="M392" s="2"/>
    </row>
    <row r="393" spans="1:13" x14ac:dyDescent="0.25">
      <c r="A393" s="1" t="str">
        <f>IF(OR(A392="",F392=0,A392=Refinance_Calculator!$C$29),"",A392+1)</f>
        <v/>
      </c>
      <c r="B393" s="3" t="str">
        <f t="shared" si="48"/>
        <v/>
      </c>
      <c r="C393" s="3" t="str">
        <f>IF(A393="","",(-PMT(Refinance_Calculator!$C$26/12,Refinance_Calculator!$C$29,Refinance_Calculator!$C$23,0,0)))</f>
        <v/>
      </c>
      <c r="D393" s="3" t="str">
        <f t="shared" si="49"/>
        <v/>
      </c>
      <c r="E393" s="3" t="str">
        <f>IF(A393="","",(-PPMT(Refinance_Calculator!$C$26/12,'Internal Working'!A393,Refinance_Calculator!$C$29,Refinance_Calculator!$C$23,0,0)))</f>
        <v/>
      </c>
      <c r="F393" s="3" t="str">
        <f t="shared" si="50"/>
        <v/>
      </c>
      <c r="G393" s="5" t="str">
        <f t="shared" si="51"/>
        <v/>
      </c>
      <c r="H393" s="36" t="str">
        <f t="shared" si="52"/>
        <v/>
      </c>
      <c r="I393" s="37" t="str">
        <f ca="1">+IF(A393 &lt;= $L$2, (Full_Report!C473-'Internal Working'!C393),"")</f>
        <v/>
      </c>
      <c r="J393" s="37" t="str">
        <f t="shared" ca="1" si="54"/>
        <v>0</v>
      </c>
      <c r="K393" s="35" t="str">
        <f t="shared" si="55"/>
        <v>0</v>
      </c>
      <c r="L393" s="35" t="str">
        <f t="shared" si="53"/>
        <v/>
      </c>
      <c r="M393" s="2"/>
    </row>
    <row r="394" spans="1:13" x14ac:dyDescent="0.25">
      <c r="A394" s="1" t="str">
        <f>IF(OR(A393="",F393=0,A393=Refinance_Calculator!$C$29),"",A393+1)</f>
        <v/>
      </c>
      <c r="B394" s="3" t="str">
        <f t="shared" si="48"/>
        <v/>
      </c>
      <c r="C394" s="3" t="str">
        <f>IF(A394="","",(-PMT(Refinance_Calculator!$C$26/12,Refinance_Calculator!$C$29,Refinance_Calculator!$C$23,0,0)))</f>
        <v/>
      </c>
      <c r="D394" s="3" t="str">
        <f t="shared" si="49"/>
        <v/>
      </c>
      <c r="E394" s="3" t="str">
        <f>IF(A394="","",(-PPMT(Refinance_Calculator!$C$26/12,'Internal Working'!A394,Refinance_Calculator!$C$29,Refinance_Calculator!$C$23,0,0)))</f>
        <v/>
      </c>
      <c r="F394" s="3" t="str">
        <f t="shared" si="50"/>
        <v/>
      </c>
      <c r="G394" s="5" t="str">
        <f t="shared" si="51"/>
        <v/>
      </c>
      <c r="H394" s="36" t="str">
        <f t="shared" si="52"/>
        <v/>
      </c>
      <c r="I394" s="37" t="str">
        <f ca="1">+IF(A394 &lt;= $L$2, (Full_Report!C474-'Internal Working'!C394),"")</f>
        <v/>
      </c>
      <c r="J394" s="37" t="str">
        <f t="shared" ca="1" si="54"/>
        <v>0</v>
      </c>
      <c r="K394" s="35" t="str">
        <f t="shared" si="55"/>
        <v>0</v>
      </c>
      <c r="L394" s="35" t="str">
        <f t="shared" si="53"/>
        <v/>
      </c>
      <c r="M394" s="2"/>
    </row>
    <row r="395" spans="1:13" x14ac:dyDescent="0.25">
      <c r="A395" s="1" t="str">
        <f>IF(OR(A394="",F394=0,A394=Refinance_Calculator!$C$29),"",A394+1)</f>
        <v/>
      </c>
      <c r="B395" s="3" t="str">
        <f t="shared" si="48"/>
        <v/>
      </c>
      <c r="C395" s="3" t="str">
        <f>IF(A395="","",(-PMT(Refinance_Calculator!$C$26/12,Refinance_Calculator!$C$29,Refinance_Calculator!$C$23,0,0)))</f>
        <v/>
      </c>
      <c r="D395" s="3" t="str">
        <f t="shared" si="49"/>
        <v/>
      </c>
      <c r="E395" s="3" t="str">
        <f>IF(A395="","",(-PPMT(Refinance_Calculator!$C$26/12,'Internal Working'!A395,Refinance_Calculator!$C$29,Refinance_Calculator!$C$23,0,0)))</f>
        <v/>
      </c>
      <c r="F395" s="3" t="str">
        <f t="shared" si="50"/>
        <v/>
      </c>
      <c r="G395" s="5" t="str">
        <f t="shared" si="51"/>
        <v/>
      </c>
      <c r="H395" s="36" t="str">
        <f t="shared" si="52"/>
        <v/>
      </c>
      <c r="I395" s="37" t="str">
        <f ca="1">+IF(A395 &lt;= $L$2, (Full_Report!C475-'Internal Working'!C395),"")</f>
        <v/>
      </c>
      <c r="J395" s="37" t="str">
        <f t="shared" ca="1" si="54"/>
        <v>0</v>
      </c>
      <c r="K395" s="35" t="str">
        <f t="shared" si="55"/>
        <v>0</v>
      </c>
      <c r="L395" s="35" t="str">
        <f t="shared" si="53"/>
        <v/>
      </c>
      <c r="M395" s="2"/>
    </row>
    <row r="396" spans="1:13" x14ac:dyDescent="0.25">
      <c r="A396" s="1" t="str">
        <f>IF(OR(A395="",F395=0,A395=Refinance_Calculator!$C$29),"",A395+1)</f>
        <v/>
      </c>
      <c r="B396" s="3" t="str">
        <f t="shared" si="48"/>
        <v/>
      </c>
      <c r="C396" s="3" t="str">
        <f>IF(A396="","",(-PMT(Refinance_Calculator!$C$26/12,Refinance_Calculator!$C$29,Refinance_Calculator!$C$23,0,0)))</f>
        <v/>
      </c>
      <c r="D396" s="3" t="str">
        <f t="shared" si="49"/>
        <v/>
      </c>
      <c r="E396" s="3" t="str">
        <f>IF(A396="","",(-PPMT(Refinance_Calculator!$C$26/12,'Internal Working'!A396,Refinance_Calculator!$C$29,Refinance_Calculator!$C$23,0,0)))</f>
        <v/>
      </c>
      <c r="F396" s="3" t="str">
        <f t="shared" si="50"/>
        <v/>
      </c>
      <c r="G396" s="5" t="str">
        <f t="shared" si="51"/>
        <v/>
      </c>
      <c r="H396" s="36" t="str">
        <f t="shared" si="52"/>
        <v/>
      </c>
      <c r="I396" s="37" t="str">
        <f ca="1">+IF(A396 &lt;= $L$2, (Full_Report!C476-'Internal Working'!C396),"")</f>
        <v/>
      </c>
      <c r="J396" s="37" t="str">
        <f t="shared" ca="1" si="54"/>
        <v>0</v>
      </c>
      <c r="K396" s="35" t="str">
        <f t="shared" si="55"/>
        <v>0</v>
      </c>
      <c r="L396" s="35" t="str">
        <f t="shared" si="53"/>
        <v/>
      </c>
      <c r="M396" s="2"/>
    </row>
    <row r="397" spans="1:13" x14ac:dyDescent="0.25">
      <c r="A397" s="1" t="str">
        <f>IF(OR(A396="",F396=0,A396=Refinance_Calculator!$C$29),"",A396+1)</f>
        <v/>
      </c>
      <c r="B397" s="3" t="str">
        <f t="shared" si="48"/>
        <v/>
      </c>
      <c r="C397" s="3" t="str">
        <f>IF(A397="","",(-PMT(Refinance_Calculator!$C$26/12,Refinance_Calculator!$C$29,Refinance_Calculator!$C$23,0,0)))</f>
        <v/>
      </c>
      <c r="D397" s="3" t="str">
        <f t="shared" si="49"/>
        <v/>
      </c>
      <c r="E397" s="3" t="str">
        <f>IF(A397="","",(-PPMT(Refinance_Calculator!$C$26/12,'Internal Working'!A397,Refinance_Calculator!$C$29,Refinance_Calculator!$C$23,0,0)))</f>
        <v/>
      </c>
      <c r="F397" s="3" t="str">
        <f t="shared" si="50"/>
        <v/>
      </c>
      <c r="G397" s="5" t="str">
        <f t="shared" si="51"/>
        <v/>
      </c>
      <c r="H397" s="36" t="str">
        <f t="shared" si="52"/>
        <v/>
      </c>
      <c r="I397" s="37" t="str">
        <f ca="1">+IF(A397 &lt;= $L$2, (Full_Report!C477-'Internal Working'!C397),"")</f>
        <v/>
      </c>
      <c r="J397" s="37" t="str">
        <f t="shared" ca="1" si="54"/>
        <v>0</v>
      </c>
      <c r="K397" s="35" t="str">
        <f t="shared" si="55"/>
        <v>0</v>
      </c>
      <c r="L397" s="35" t="str">
        <f t="shared" si="53"/>
        <v/>
      </c>
      <c r="M397" s="2"/>
    </row>
    <row r="398" spans="1:13" x14ac:dyDescent="0.25">
      <c r="A398" s="1" t="str">
        <f>IF(OR(A397="",F397=0,A397=Refinance_Calculator!$C$29),"",A397+1)</f>
        <v/>
      </c>
      <c r="B398" s="3" t="str">
        <f t="shared" si="48"/>
        <v/>
      </c>
      <c r="C398" s="3" t="str">
        <f>IF(A398="","",(-PMT(Refinance_Calculator!$C$26/12,Refinance_Calculator!$C$29,Refinance_Calculator!$C$23,0,0)))</f>
        <v/>
      </c>
      <c r="D398" s="3" t="str">
        <f t="shared" si="49"/>
        <v/>
      </c>
      <c r="E398" s="3" t="str">
        <f>IF(A398="","",(-PPMT(Refinance_Calculator!$C$26/12,'Internal Working'!A398,Refinance_Calculator!$C$29,Refinance_Calculator!$C$23,0,0)))</f>
        <v/>
      </c>
      <c r="F398" s="3" t="str">
        <f t="shared" si="50"/>
        <v/>
      </c>
      <c r="G398" s="5" t="str">
        <f t="shared" si="51"/>
        <v/>
      </c>
      <c r="H398" s="36" t="str">
        <f t="shared" si="52"/>
        <v/>
      </c>
      <c r="I398" s="37" t="str">
        <f ca="1">+IF(A398 &lt;= $L$2, (Full_Report!C478-'Internal Working'!C398),"")</f>
        <v/>
      </c>
      <c r="J398" s="37" t="str">
        <f t="shared" ca="1" si="54"/>
        <v>0</v>
      </c>
      <c r="K398" s="35" t="str">
        <f t="shared" si="55"/>
        <v>0</v>
      </c>
      <c r="L398" s="35" t="str">
        <f t="shared" si="53"/>
        <v/>
      </c>
      <c r="M398" s="2"/>
    </row>
    <row r="399" spans="1:13" x14ac:dyDescent="0.25">
      <c r="A399" s="1" t="str">
        <f>IF(OR(A398="",F398=0,A398=Refinance_Calculator!$C$29),"",A398+1)</f>
        <v/>
      </c>
      <c r="B399" s="3" t="str">
        <f t="shared" si="48"/>
        <v/>
      </c>
      <c r="C399" s="3" t="str">
        <f>IF(A399="","",(-PMT(Refinance_Calculator!$C$26/12,Refinance_Calculator!$C$29,Refinance_Calculator!$C$23,0,0)))</f>
        <v/>
      </c>
      <c r="D399" s="3" t="str">
        <f t="shared" si="49"/>
        <v/>
      </c>
      <c r="E399" s="3" t="str">
        <f>IF(A399="","",(-PPMT(Refinance_Calculator!$C$26/12,'Internal Working'!A399,Refinance_Calculator!$C$29,Refinance_Calculator!$C$23,0,0)))</f>
        <v/>
      </c>
      <c r="F399" s="3" t="str">
        <f t="shared" si="50"/>
        <v/>
      </c>
      <c r="G399" s="5" t="str">
        <f t="shared" si="51"/>
        <v/>
      </c>
      <c r="H399" s="36" t="str">
        <f t="shared" si="52"/>
        <v/>
      </c>
      <c r="I399" s="37" t="str">
        <f ca="1">+IF(A399 &lt;= $L$2, (Full_Report!C479-'Internal Working'!C399),"")</f>
        <v/>
      </c>
      <c r="J399" s="37" t="str">
        <f t="shared" ca="1" si="54"/>
        <v>0</v>
      </c>
      <c r="K399" s="35" t="str">
        <f t="shared" si="55"/>
        <v>0</v>
      </c>
      <c r="L399" s="35" t="str">
        <f t="shared" si="53"/>
        <v/>
      </c>
      <c r="M399" s="2"/>
    </row>
    <row r="400" spans="1:13" x14ac:dyDescent="0.25">
      <c r="A400" s="1" t="str">
        <f>IF(OR(A399="",F399=0,A399=Refinance_Calculator!$C$29),"",A399+1)</f>
        <v/>
      </c>
      <c r="B400" s="3" t="str">
        <f t="shared" si="48"/>
        <v/>
      </c>
      <c r="C400" s="3" t="str">
        <f>IF(A400="","",(-PMT(Refinance_Calculator!$C$26/12,Refinance_Calculator!$C$29,Refinance_Calculator!$C$23,0,0)))</f>
        <v/>
      </c>
      <c r="D400" s="3" t="str">
        <f t="shared" si="49"/>
        <v/>
      </c>
      <c r="E400" s="3" t="str">
        <f>IF(A400="","",(-PPMT(Refinance_Calculator!$C$26/12,'Internal Working'!A400,Refinance_Calculator!$C$29,Refinance_Calculator!$C$23,0,0)))</f>
        <v/>
      </c>
      <c r="F400" s="3" t="str">
        <f t="shared" si="50"/>
        <v/>
      </c>
      <c r="G400" s="5" t="str">
        <f t="shared" si="51"/>
        <v/>
      </c>
      <c r="H400" s="36" t="str">
        <f t="shared" si="52"/>
        <v/>
      </c>
      <c r="I400" s="37" t="str">
        <f ca="1">+IF(A400 &lt;= $L$2, (Full_Report!C480-'Internal Working'!C400),"")</f>
        <v/>
      </c>
      <c r="J400" s="37" t="str">
        <f t="shared" ca="1" si="54"/>
        <v>0</v>
      </c>
      <c r="K400" s="35" t="str">
        <f t="shared" si="55"/>
        <v>0</v>
      </c>
      <c r="L400" s="35" t="str">
        <f t="shared" si="53"/>
        <v/>
      </c>
      <c r="M400" s="2"/>
    </row>
    <row r="401" spans="1:13" x14ac:dyDescent="0.25">
      <c r="A401" s="1" t="str">
        <f>IF(OR(A400="",F400=0,A400=Refinance_Calculator!$C$29),"",A400+1)</f>
        <v/>
      </c>
      <c r="B401" s="3" t="str">
        <f t="shared" si="48"/>
        <v/>
      </c>
      <c r="C401" s="3" t="str">
        <f>IF(A401="","",(-PMT(Refinance_Calculator!$C$26/12,Refinance_Calculator!$C$29,Refinance_Calculator!$C$23,0,0)))</f>
        <v/>
      </c>
      <c r="D401" s="3" t="str">
        <f t="shared" si="49"/>
        <v/>
      </c>
      <c r="E401" s="3" t="str">
        <f>IF(A401="","",(-PPMT(Refinance_Calculator!$C$26/12,'Internal Working'!A401,Refinance_Calculator!$C$29,Refinance_Calculator!$C$23,0,0)))</f>
        <v/>
      </c>
      <c r="F401" s="3" t="str">
        <f t="shared" si="50"/>
        <v/>
      </c>
      <c r="G401" s="5" t="str">
        <f t="shared" si="51"/>
        <v/>
      </c>
      <c r="H401" s="36" t="str">
        <f t="shared" si="52"/>
        <v/>
      </c>
      <c r="I401" s="37" t="str">
        <f ca="1">+IF(A401 &lt;= $L$2, (Full_Report!C481-'Internal Working'!C401),"")</f>
        <v/>
      </c>
      <c r="J401" s="37" t="str">
        <f t="shared" ca="1" si="54"/>
        <v>0</v>
      </c>
      <c r="K401" s="35" t="str">
        <f t="shared" si="55"/>
        <v>0</v>
      </c>
      <c r="L401" s="35" t="str">
        <f t="shared" si="53"/>
        <v/>
      </c>
      <c r="M401" s="2"/>
    </row>
    <row r="402" spans="1:13" x14ac:dyDescent="0.25">
      <c r="A402" s="1" t="str">
        <f>IF(OR(A401="",F401=0,A401=Refinance_Calculator!$C$29),"",A401+1)</f>
        <v/>
      </c>
      <c r="B402" s="3" t="str">
        <f t="shared" ref="B402:B465" si="56">IF(A402="","",(F401))</f>
        <v/>
      </c>
      <c r="C402" s="3" t="str">
        <f>IF(A402="","",(-PMT(Refinance_Calculator!$C$26/12,Refinance_Calculator!$C$29,Refinance_Calculator!$C$23,0,0)))</f>
        <v/>
      </c>
      <c r="D402" s="3" t="str">
        <f t="shared" ref="D402:D465" si="57">+IF(A402="","",(C402-E402))</f>
        <v/>
      </c>
      <c r="E402" s="3" t="str">
        <f>IF(A402="","",(-PPMT(Refinance_Calculator!$C$26/12,'Internal Working'!A402,Refinance_Calculator!$C$29,Refinance_Calculator!$C$23,0,0)))</f>
        <v/>
      </c>
      <c r="F402" s="3" t="str">
        <f t="shared" ref="F402:F465" si="58">+IF(A402="","",(B402-E402))</f>
        <v/>
      </c>
      <c r="G402" s="5" t="str">
        <f t="shared" ref="G402:G465" si="59">+E402</f>
        <v/>
      </c>
      <c r="H402" s="36" t="str">
        <f t="shared" ref="H402:H465" si="60">+D402</f>
        <v/>
      </c>
      <c r="I402" s="37" t="str">
        <f ca="1">+IF(A402 &lt;= $L$2, (Full_Report!C482-'Internal Working'!C402),"")</f>
        <v/>
      </c>
      <c r="J402" s="37" t="str">
        <f t="shared" ca="1" si="54"/>
        <v>0</v>
      </c>
      <c r="K402" s="35" t="str">
        <f t="shared" si="55"/>
        <v>0</v>
      </c>
      <c r="L402" s="35" t="str">
        <f t="shared" si="53"/>
        <v/>
      </c>
      <c r="M402" s="2"/>
    </row>
    <row r="403" spans="1:13" x14ac:dyDescent="0.25">
      <c r="A403" s="1" t="str">
        <f>IF(OR(A402="",F402=0,A402=Refinance_Calculator!$C$29),"",A402+1)</f>
        <v/>
      </c>
      <c r="B403" s="3" t="str">
        <f t="shared" si="56"/>
        <v/>
      </c>
      <c r="C403" s="3" t="str">
        <f>IF(A403="","",(-PMT(Refinance_Calculator!$C$26/12,Refinance_Calculator!$C$29,Refinance_Calculator!$C$23,0,0)))</f>
        <v/>
      </c>
      <c r="D403" s="3" t="str">
        <f t="shared" si="57"/>
        <v/>
      </c>
      <c r="E403" s="3" t="str">
        <f>IF(A403="","",(-PPMT(Refinance_Calculator!$C$26/12,'Internal Working'!A403,Refinance_Calculator!$C$29,Refinance_Calculator!$C$23,0,0)))</f>
        <v/>
      </c>
      <c r="F403" s="3" t="str">
        <f t="shared" si="58"/>
        <v/>
      </c>
      <c r="G403" s="5" t="str">
        <f t="shared" si="59"/>
        <v/>
      </c>
      <c r="H403" s="36" t="str">
        <f t="shared" si="60"/>
        <v/>
      </c>
      <c r="I403" s="37" t="str">
        <f ca="1">+IF(A403 &lt;= $L$2, (Full_Report!C483-'Internal Working'!C403),"")</f>
        <v/>
      </c>
      <c r="J403" s="37" t="str">
        <f t="shared" ca="1" si="54"/>
        <v>0</v>
      </c>
      <c r="K403" s="35" t="str">
        <f t="shared" si="55"/>
        <v>0</v>
      </c>
      <c r="L403" s="35" t="str">
        <f t="shared" si="53"/>
        <v/>
      </c>
      <c r="M403" s="2"/>
    </row>
    <row r="404" spans="1:13" x14ac:dyDescent="0.25">
      <c r="A404" s="1" t="str">
        <f>IF(OR(A403="",F403=0,A403=Refinance_Calculator!$C$29),"",A403+1)</f>
        <v/>
      </c>
      <c r="B404" s="3" t="str">
        <f t="shared" si="56"/>
        <v/>
      </c>
      <c r="C404" s="3" t="str">
        <f>IF(A404="","",(-PMT(Refinance_Calculator!$C$26/12,Refinance_Calculator!$C$29,Refinance_Calculator!$C$23,0,0)))</f>
        <v/>
      </c>
      <c r="D404" s="3" t="str">
        <f t="shared" si="57"/>
        <v/>
      </c>
      <c r="E404" s="3" t="str">
        <f>IF(A404="","",(-PPMT(Refinance_Calculator!$C$26/12,'Internal Working'!A404,Refinance_Calculator!$C$29,Refinance_Calculator!$C$23,0,0)))</f>
        <v/>
      </c>
      <c r="F404" s="3" t="str">
        <f t="shared" si="58"/>
        <v/>
      </c>
      <c r="G404" s="5" t="str">
        <f t="shared" si="59"/>
        <v/>
      </c>
      <c r="H404" s="36" t="str">
        <f t="shared" si="60"/>
        <v/>
      </c>
      <c r="I404" s="37" t="str">
        <f ca="1">+IF(A404 &lt;= $L$2, (Full_Report!C484-'Internal Working'!C404),"")</f>
        <v/>
      </c>
      <c r="J404" s="37" t="str">
        <f t="shared" ca="1" si="54"/>
        <v>0</v>
      </c>
      <c r="K404" s="35" t="str">
        <f t="shared" si="55"/>
        <v>0</v>
      </c>
      <c r="L404" s="35" t="str">
        <f t="shared" si="53"/>
        <v/>
      </c>
      <c r="M404" s="2"/>
    </row>
    <row r="405" spans="1:13" x14ac:dyDescent="0.25">
      <c r="A405" s="1" t="str">
        <f>IF(OR(A404="",F404=0,A404=Refinance_Calculator!$C$29),"",A404+1)</f>
        <v/>
      </c>
      <c r="B405" s="3" t="str">
        <f t="shared" si="56"/>
        <v/>
      </c>
      <c r="C405" s="3" t="str">
        <f>IF(A405="","",(-PMT(Refinance_Calculator!$C$26/12,Refinance_Calculator!$C$29,Refinance_Calculator!$C$23,0,0)))</f>
        <v/>
      </c>
      <c r="D405" s="3" t="str">
        <f t="shared" si="57"/>
        <v/>
      </c>
      <c r="E405" s="3" t="str">
        <f>IF(A405="","",(-PPMT(Refinance_Calculator!$C$26/12,'Internal Working'!A405,Refinance_Calculator!$C$29,Refinance_Calculator!$C$23,0,0)))</f>
        <v/>
      </c>
      <c r="F405" s="3" t="str">
        <f t="shared" si="58"/>
        <v/>
      </c>
      <c r="G405" s="5" t="str">
        <f t="shared" si="59"/>
        <v/>
      </c>
      <c r="H405" s="36" t="str">
        <f t="shared" si="60"/>
        <v/>
      </c>
      <c r="I405" s="37" t="str">
        <f ca="1">+IF(A405 &lt;= $L$2, (Full_Report!C485-'Internal Working'!C405),"")</f>
        <v/>
      </c>
      <c r="J405" s="37" t="str">
        <f t="shared" ca="1" si="54"/>
        <v>0</v>
      </c>
      <c r="K405" s="35" t="str">
        <f t="shared" si="55"/>
        <v>0</v>
      </c>
      <c r="L405" s="35" t="str">
        <f t="shared" si="53"/>
        <v/>
      </c>
      <c r="M405" s="2"/>
    </row>
    <row r="406" spans="1:13" x14ac:dyDescent="0.25">
      <c r="A406" s="1" t="str">
        <f>IF(OR(A405="",F405=0,A405=Refinance_Calculator!$C$29),"",A405+1)</f>
        <v/>
      </c>
      <c r="B406" s="3" t="str">
        <f t="shared" si="56"/>
        <v/>
      </c>
      <c r="C406" s="3" t="str">
        <f>IF(A406="","",(-PMT(Refinance_Calculator!$C$26/12,Refinance_Calculator!$C$29,Refinance_Calculator!$C$23,0,0)))</f>
        <v/>
      </c>
      <c r="D406" s="3" t="str">
        <f t="shared" si="57"/>
        <v/>
      </c>
      <c r="E406" s="3" t="str">
        <f>IF(A406="","",(-PPMT(Refinance_Calculator!$C$26/12,'Internal Working'!A406,Refinance_Calculator!$C$29,Refinance_Calculator!$C$23,0,0)))</f>
        <v/>
      </c>
      <c r="F406" s="3" t="str">
        <f t="shared" si="58"/>
        <v/>
      </c>
      <c r="G406" s="5" t="str">
        <f t="shared" si="59"/>
        <v/>
      </c>
      <c r="H406" s="36" t="str">
        <f t="shared" si="60"/>
        <v/>
      </c>
      <c r="I406" s="37" t="str">
        <f ca="1">+IF(A406 &lt;= $L$2, (Full_Report!C486-'Internal Working'!C406),"")</f>
        <v/>
      </c>
      <c r="J406" s="37" t="str">
        <f t="shared" ca="1" si="54"/>
        <v>0</v>
      </c>
      <c r="K406" s="35" t="str">
        <f t="shared" si="55"/>
        <v>0</v>
      </c>
      <c r="L406" s="35" t="str">
        <f t="shared" si="53"/>
        <v/>
      </c>
      <c r="M406" s="2"/>
    </row>
    <row r="407" spans="1:13" x14ac:dyDescent="0.25">
      <c r="A407" s="1" t="str">
        <f>IF(OR(A406="",F406=0,A406=Refinance_Calculator!$C$29),"",A406+1)</f>
        <v/>
      </c>
      <c r="B407" s="3" t="str">
        <f t="shared" si="56"/>
        <v/>
      </c>
      <c r="C407" s="3" t="str">
        <f>IF(A407="","",(-PMT(Refinance_Calculator!$C$26/12,Refinance_Calculator!$C$29,Refinance_Calculator!$C$23,0,0)))</f>
        <v/>
      </c>
      <c r="D407" s="3" t="str">
        <f t="shared" si="57"/>
        <v/>
      </c>
      <c r="E407" s="3" t="str">
        <f>IF(A407="","",(-PPMT(Refinance_Calculator!$C$26/12,'Internal Working'!A407,Refinance_Calculator!$C$29,Refinance_Calculator!$C$23,0,0)))</f>
        <v/>
      </c>
      <c r="F407" s="3" t="str">
        <f t="shared" si="58"/>
        <v/>
      </c>
      <c r="G407" s="5" t="str">
        <f t="shared" si="59"/>
        <v/>
      </c>
      <c r="H407" s="36" t="str">
        <f t="shared" si="60"/>
        <v/>
      </c>
      <c r="I407" s="37" t="str">
        <f ca="1">+IF(A407 &lt;= $L$2, (Full_Report!C487-'Internal Working'!C407),"")</f>
        <v/>
      </c>
      <c r="J407" s="37" t="str">
        <f t="shared" ca="1" si="54"/>
        <v>0</v>
      </c>
      <c r="K407" s="35" t="str">
        <f t="shared" si="55"/>
        <v>0</v>
      </c>
      <c r="L407" s="35" t="str">
        <f t="shared" si="53"/>
        <v/>
      </c>
      <c r="M407" s="2"/>
    </row>
    <row r="408" spans="1:13" x14ac:dyDescent="0.25">
      <c r="A408" s="1" t="str">
        <f>IF(OR(A407="",F407=0,A407=Refinance_Calculator!$C$29),"",A407+1)</f>
        <v/>
      </c>
      <c r="B408" s="3" t="str">
        <f t="shared" si="56"/>
        <v/>
      </c>
      <c r="C408" s="3" t="str">
        <f>IF(A408="","",(-PMT(Refinance_Calculator!$C$26/12,Refinance_Calculator!$C$29,Refinance_Calculator!$C$23,0,0)))</f>
        <v/>
      </c>
      <c r="D408" s="3" t="str">
        <f t="shared" si="57"/>
        <v/>
      </c>
      <c r="E408" s="3" t="str">
        <f>IF(A408="","",(-PPMT(Refinance_Calculator!$C$26/12,'Internal Working'!A408,Refinance_Calculator!$C$29,Refinance_Calculator!$C$23,0,0)))</f>
        <v/>
      </c>
      <c r="F408" s="3" t="str">
        <f t="shared" si="58"/>
        <v/>
      </c>
      <c r="G408" s="5" t="str">
        <f t="shared" si="59"/>
        <v/>
      </c>
      <c r="H408" s="36" t="str">
        <f t="shared" si="60"/>
        <v/>
      </c>
      <c r="I408" s="37" t="str">
        <f ca="1">+IF(A408 &lt;= $L$2, (Full_Report!C488-'Internal Working'!C408),"")</f>
        <v/>
      </c>
      <c r="J408" s="37" t="str">
        <f t="shared" ca="1" si="54"/>
        <v>0</v>
      </c>
      <c r="K408" s="35" t="str">
        <f t="shared" si="55"/>
        <v>0</v>
      </c>
      <c r="L408" s="35" t="str">
        <f t="shared" si="53"/>
        <v/>
      </c>
      <c r="M408" s="2"/>
    </row>
    <row r="409" spans="1:13" x14ac:dyDescent="0.25">
      <c r="A409" s="1" t="str">
        <f>IF(OR(A408="",F408=0,A408=Refinance_Calculator!$C$29),"",A408+1)</f>
        <v/>
      </c>
      <c r="B409" s="3" t="str">
        <f t="shared" si="56"/>
        <v/>
      </c>
      <c r="C409" s="3" t="str">
        <f>IF(A409="","",(-PMT(Refinance_Calculator!$C$26/12,Refinance_Calculator!$C$29,Refinance_Calculator!$C$23,0,0)))</f>
        <v/>
      </c>
      <c r="D409" s="3" t="str">
        <f t="shared" si="57"/>
        <v/>
      </c>
      <c r="E409" s="3" t="str">
        <f>IF(A409="","",(-PPMT(Refinance_Calculator!$C$26/12,'Internal Working'!A409,Refinance_Calculator!$C$29,Refinance_Calculator!$C$23,0,0)))</f>
        <v/>
      </c>
      <c r="F409" s="3" t="str">
        <f t="shared" si="58"/>
        <v/>
      </c>
      <c r="G409" s="5" t="str">
        <f t="shared" si="59"/>
        <v/>
      </c>
      <c r="H409" s="36" t="str">
        <f t="shared" si="60"/>
        <v/>
      </c>
      <c r="I409" s="37" t="str">
        <f ca="1">+IF(A409 &lt;= $L$2, (Full_Report!C489-'Internal Working'!C409),"")</f>
        <v/>
      </c>
      <c r="J409" s="37" t="str">
        <f t="shared" ca="1" si="54"/>
        <v>0</v>
      </c>
      <c r="K409" s="35" t="str">
        <f t="shared" si="55"/>
        <v>0</v>
      </c>
      <c r="L409" s="35" t="str">
        <f t="shared" si="53"/>
        <v/>
      </c>
      <c r="M409" s="2"/>
    </row>
    <row r="410" spans="1:13" x14ac:dyDescent="0.25">
      <c r="A410" s="1" t="str">
        <f>IF(OR(A409="",F409=0,A409=Refinance_Calculator!$C$29),"",A409+1)</f>
        <v/>
      </c>
      <c r="B410" s="3" t="str">
        <f t="shared" si="56"/>
        <v/>
      </c>
      <c r="C410" s="3" t="str">
        <f>IF(A410="","",(-PMT(Refinance_Calculator!$C$26/12,Refinance_Calculator!$C$29,Refinance_Calculator!$C$23,0,0)))</f>
        <v/>
      </c>
      <c r="D410" s="3" t="str">
        <f t="shared" si="57"/>
        <v/>
      </c>
      <c r="E410" s="3" t="str">
        <f>IF(A410="","",(-PPMT(Refinance_Calculator!$C$26/12,'Internal Working'!A410,Refinance_Calculator!$C$29,Refinance_Calculator!$C$23,0,0)))</f>
        <v/>
      </c>
      <c r="F410" s="3" t="str">
        <f t="shared" si="58"/>
        <v/>
      </c>
      <c r="G410" s="5" t="str">
        <f t="shared" si="59"/>
        <v/>
      </c>
      <c r="H410" s="36" t="str">
        <f t="shared" si="60"/>
        <v/>
      </c>
      <c r="I410" s="37" t="str">
        <f ca="1">+IF(A410 &lt;= $L$2, (Full_Report!C490-'Internal Working'!C410),"")</f>
        <v/>
      </c>
      <c r="J410" s="37" t="str">
        <f t="shared" ca="1" si="54"/>
        <v>0</v>
      </c>
      <c r="K410" s="35" t="str">
        <f t="shared" si="55"/>
        <v>0</v>
      </c>
      <c r="L410" s="35" t="str">
        <f t="shared" si="53"/>
        <v/>
      </c>
      <c r="M410" s="2"/>
    </row>
    <row r="411" spans="1:13" x14ac:dyDescent="0.25">
      <c r="A411" s="1" t="str">
        <f>IF(OR(A410="",F410=0,A410=Refinance_Calculator!$C$29),"",A410+1)</f>
        <v/>
      </c>
      <c r="B411" s="3" t="str">
        <f t="shared" si="56"/>
        <v/>
      </c>
      <c r="C411" s="3" t="str">
        <f>IF(A411="","",(-PMT(Refinance_Calculator!$C$26/12,Refinance_Calculator!$C$29,Refinance_Calculator!$C$23,0,0)))</f>
        <v/>
      </c>
      <c r="D411" s="3" t="str">
        <f t="shared" si="57"/>
        <v/>
      </c>
      <c r="E411" s="3" t="str">
        <f>IF(A411="","",(-PPMT(Refinance_Calculator!$C$26/12,'Internal Working'!A411,Refinance_Calculator!$C$29,Refinance_Calculator!$C$23,0,0)))</f>
        <v/>
      </c>
      <c r="F411" s="3" t="str">
        <f t="shared" si="58"/>
        <v/>
      </c>
      <c r="G411" s="5" t="str">
        <f t="shared" si="59"/>
        <v/>
      </c>
      <c r="H411" s="36" t="str">
        <f t="shared" si="60"/>
        <v/>
      </c>
      <c r="I411" s="37" t="str">
        <f ca="1">+IF(A411 &lt;= $L$2, (Full_Report!C491-'Internal Working'!C411),"")</f>
        <v/>
      </c>
      <c r="J411" s="37" t="str">
        <f t="shared" ca="1" si="54"/>
        <v>0</v>
      </c>
      <c r="K411" s="35" t="str">
        <f t="shared" si="55"/>
        <v>0</v>
      </c>
      <c r="L411" s="35" t="str">
        <f t="shared" si="53"/>
        <v/>
      </c>
      <c r="M411" s="2"/>
    </row>
    <row r="412" spans="1:13" x14ac:dyDescent="0.25">
      <c r="A412" s="1" t="str">
        <f>IF(OR(A411="",F411=0,A411=Refinance_Calculator!$C$29),"",A411+1)</f>
        <v/>
      </c>
      <c r="B412" s="3" t="str">
        <f t="shared" si="56"/>
        <v/>
      </c>
      <c r="C412" s="3" t="str">
        <f>IF(A412="","",(-PMT(Refinance_Calculator!$C$26/12,Refinance_Calculator!$C$29,Refinance_Calculator!$C$23,0,0)))</f>
        <v/>
      </c>
      <c r="D412" s="3" t="str">
        <f t="shared" si="57"/>
        <v/>
      </c>
      <c r="E412" s="3" t="str">
        <f>IF(A412="","",(-PPMT(Refinance_Calculator!$C$26/12,'Internal Working'!A412,Refinance_Calculator!$C$29,Refinance_Calculator!$C$23,0,0)))</f>
        <v/>
      </c>
      <c r="F412" s="3" t="str">
        <f t="shared" si="58"/>
        <v/>
      </c>
      <c r="G412" s="5" t="str">
        <f t="shared" si="59"/>
        <v/>
      </c>
      <c r="H412" s="36" t="str">
        <f t="shared" si="60"/>
        <v/>
      </c>
      <c r="I412" s="37" t="str">
        <f ca="1">+IF(A412 &lt;= $L$2, (Full_Report!C492-'Internal Working'!C412),"")</f>
        <v/>
      </c>
      <c r="J412" s="37" t="str">
        <f t="shared" ca="1" si="54"/>
        <v>0</v>
      </c>
      <c r="K412" s="35" t="str">
        <f t="shared" si="55"/>
        <v>0</v>
      </c>
      <c r="L412" s="35" t="str">
        <f t="shared" si="53"/>
        <v/>
      </c>
      <c r="M412" s="2"/>
    </row>
    <row r="413" spans="1:13" x14ac:dyDescent="0.25">
      <c r="A413" s="1" t="str">
        <f>IF(OR(A412="",F412=0,A412=Refinance_Calculator!$C$29),"",A412+1)</f>
        <v/>
      </c>
      <c r="B413" s="3" t="str">
        <f t="shared" si="56"/>
        <v/>
      </c>
      <c r="C413" s="3" t="str">
        <f>IF(A413="","",(-PMT(Refinance_Calculator!$C$26/12,Refinance_Calculator!$C$29,Refinance_Calculator!$C$23,0,0)))</f>
        <v/>
      </c>
      <c r="D413" s="3" t="str">
        <f t="shared" si="57"/>
        <v/>
      </c>
      <c r="E413" s="3" t="str">
        <f>IF(A413="","",(-PPMT(Refinance_Calculator!$C$26/12,'Internal Working'!A413,Refinance_Calculator!$C$29,Refinance_Calculator!$C$23,0,0)))</f>
        <v/>
      </c>
      <c r="F413" s="3" t="str">
        <f t="shared" si="58"/>
        <v/>
      </c>
      <c r="G413" s="5" t="str">
        <f t="shared" si="59"/>
        <v/>
      </c>
      <c r="H413" s="36" t="str">
        <f t="shared" si="60"/>
        <v/>
      </c>
      <c r="I413" s="37" t="str">
        <f ca="1">+IF(A413 &lt;= $L$2, (Full_Report!C493-'Internal Working'!C413),"")</f>
        <v/>
      </c>
      <c r="J413" s="37" t="str">
        <f t="shared" ca="1" si="54"/>
        <v>0</v>
      </c>
      <c r="K413" s="35" t="str">
        <f t="shared" si="55"/>
        <v>0</v>
      </c>
      <c r="L413" s="35" t="str">
        <f t="shared" si="53"/>
        <v/>
      </c>
      <c r="M413" s="2"/>
    </row>
    <row r="414" spans="1:13" x14ac:dyDescent="0.25">
      <c r="A414" s="1" t="str">
        <f>IF(OR(A413="",F413=0,A413=Refinance_Calculator!$C$29),"",A413+1)</f>
        <v/>
      </c>
      <c r="B414" s="3" t="str">
        <f t="shared" si="56"/>
        <v/>
      </c>
      <c r="C414" s="3" t="str">
        <f>IF(A414="","",(-PMT(Refinance_Calculator!$C$26/12,Refinance_Calculator!$C$29,Refinance_Calculator!$C$23,0,0)))</f>
        <v/>
      </c>
      <c r="D414" s="3" t="str">
        <f t="shared" si="57"/>
        <v/>
      </c>
      <c r="E414" s="3" t="str">
        <f>IF(A414="","",(-PPMT(Refinance_Calculator!$C$26/12,'Internal Working'!A414,Refinance_Calculator!$C$29,Refinance_Calculator!$C$23,0,0)))</f>
        <v/>
      </c>
      <c r="F414" s="3" t="str">
        <f t="shared" si="58"/>
        <v/>
      </c>
      <c r="G414" s="5" t="str">
        <f t="shared" si="59"/>
        <v/>
      </c>
      <c r="H414" s="36" t="str">
        <f t="shared" si="60"/>
        <v/>
      </c>
      <c r="I414" s="37" t="str">
        <f ca="1">+IF(A414 &lt;= $L$2, (Full_Report!C494-'Internal Working'!C414),"")</f>
        <v/>
      </c>
      <c r="J414" s="37" t="str">
        <f t="shared" ca="1" si="54"/>
        <v>0</v>
      </c>
      <c r="K414" s="35" t="str">
        <f t="shared" si="55"/>
        <v>0</v>
      </c>
      <c r="L414" s="35" t="str">
        <f t="shared" si="53"/>
        <v/>
      </c>
      <c r="M414" s="2"/>
    </row>
    <row r="415" spans="1:13" x14ac:dyDescent="0.25">
      <c r="A415" s="1" t="str">
        <f>IF(OR(A414="",F414=0,A414=Refinance_Calculator!$C$29),"",A414+1)</f>
        <v/>
      </c>
      <c r="B415" s="3" t="str">
        <f t="shared" si="56"/>
        <v/>
      </c>
      <c r="C415" s="3" t="str">
        <f>IF(A415="","",(-PMT(Refinance_Calculator!$C$26/12,Refinance_Calculator!$C$29,Refinance_Calculator!$C$23,0,0)))</f>
        <v/>
      </c>
      <c r="D415" s="3" t="str">
        <f t="shared" si="57"/>
        <v/>
      </c>
      <c r="E415" s="3" t="str">
        <f>IF(A415="","",(-PPMT(Refinance_Calculator!$C$26/12,'Internal Working'!A415,Refinance_Calculator!$C$29,Refinance_Calculator!$C$23,0,0)))</f>
        <v/>
      </c>
      <c r="F415" s="3" t="str">
        <f t="shared" si="58"/>
        <v/>
      </c>
      <c r="G415" s="5" t="str">
        <f t="shared" si="59"/>
        <v/>
      </c>
      <c r="H415" s="36" t="str">
        <f t="shared" si="60"/>
        <v/>
      </c>
      <c r="I415" s="37" t="str">
        <f ca="1">+IF(A415 &lt;= $L$2, (Full_Report!C495-'Internal Working'!C415),"")</f>
        <v/>
      </c>
      <c r="J415" s="37" t="str">
        <f t="shared" ca="1" si="54"/>
        <v>0</v>
      </c>
      <c r="K415" s="35" t="str">
        <f t="shared" si="55"/>
        <v>0</v>
      </c>
      <c r="L415" s="35" t="str">
        <f t="shared" si="53"/>
        <v/>
      </c>
      <c r="M415" s="2"/>
    </row>
    <row r="416" spans="1:13" x14ac:dyDescent="0.25">
      <c r="A416" s="1" t="str">
        <f>IF(OR(A415="",F415=0,A415=Refinance_Calculator!$C$29),"",A415+1)</f>
        <v/>
      </c>
      <c r="B416" s="3" t="str">
        <f t="shared" si="56"/>
        <v/>
      </c>
      <c r="C416" s="3" t="str">
        <f>IF(A416="","",(-PMT(Refinance_Calculator!$C$26/12,Refinance_Calculator!$C$29,Refinance_Calculator!$C$23,0,0)))</f>
        <v/>
      </c>
      <c r="D416" s="3" t="str">
        <f t="shared" si="57"/>
        <v/>
      </c>
      <c r="E416" s="3" t="str">
        <f>IF(A416="","",(-PPMT(Refinance_Calculator!$C$26/12,'Internal Working'!A416,Refinance_Calculator!$C$29,Refinance_Calculator!$C$23,0,0)))</f>
        <v/>
      </c>
      <c r="F416" s="3" t="str">
        <f t="shared" si="58"/>
        <v/>
      </c>
      <c r="G416" s="5" t="str">
        <f t="shared" si="59"/>
        <v/>
      </c>
      <c r="H416" s="36" t="str">
        <f t="shared" si="60"/>
        <v/>
      </c>
      <c r="I416" s="37" t="str">
        <f ca="1">+IF(A416 &lt;= $L$2, (Full_Report!C496-'Internal Working'!C416),"")</f>
        <v/>
      </c>
      <c r="J416" s="37" t="str">
        <f t="shared" ca="1" si="54"/>
        <v>0</v>
      </c>
      <c r="K416" s="35" t="str">
        <f t="shared" si="55"/>
        <v>0</v>
      </c>
      <c r="L416" s="35" t="str">
        <f t="shared" si="53"/>
        <v/>
      </c>
      <c r="M416" s="2"/>
    </row>
    <row r="417" spans="1:13" x14ac:dyDescent="0.25">
      <c r="A417" s="1" t="str">
        <f>IF(OR(A416="",F416=0,A416=Refinance_Calculator!$C$29),"",A416+1)</f>
        <v/>
      </c>
      <c r="B417" s="3" t="str">
        <f t="shared" si="56"/>
        <v/>
      </c>
      <c r="C417" s="3" t="str">
        <f>IF(A417="","",(-PMT(Refinance_Calculator!$C$26/12,Refinance_Calculator!$C$29,Refinance_Calculator!$C$23,0,0)))</f>
        <v/>
      </c>
      <c r="D417" s="3" t="str">
        <f t="shared" si="57"/>
        <v/>
      </c>
      <c r="E417" s="3" t="str">
        <f>IF(A417="","",(-PPMT(Refinance_Calculator!$C$26/12,'Internal Working'!A417,Refinance_Calculator!$C$29,Refinance_Calculator!$C$23,0,0)))</f>
        <v/>
      </c>
      <c r="F417" s="3" t="str">
        <f t="shared" si="58"/>
        <v/>
      </c>
      <c r="G417" s="5" t="str">
        <f t="shared" si="59"/>
        <v/>
      </c>
      <c r="H417" s="36" t="str">
        <f t="shared" si="60"/>
        <v/>
      </c>
      <c r="I417" s="37" t="str">
        <f ca="1">+IF(A417 &lt;= $L$2, (Full_Report!C497-'Internal Working'!C417),"")</f>
        <v/>
      </c>
      <c r="J417" s="37" t="str">
        <f t="shared" ca="1" si="54"/>
        <v>0</v>
      </c>
      <c r="K417" s="35" t="str">
        <f t="shared" si="55"/>
        <v>0</v>
      </c>
      <c r="L417" s="35" t="str">
        <f t="shared" si="53"/>
        <v/>
      </c>
      <c r="M417" s="2"/>
    </row>
    <row r="418" spans="1:13" x14ac:dyDescent="0.25">
      <c r="A418" s="1" t="str">
        <f>IF(OR(A417="",F417=0,A417=Refinance_Calculator!$C$29),"",A417+1)</f>
        <v/>
      </c>
      <c r="B418" s="3" t="str">
        <f t="shared" si="56"/>
        <v/>
      </c>
      <c r="C418" s="3" t="str">
        <f>IF(A418="","",(-PMT(Refinance_Calculator!$C$26/12,Refinance_Calculator!$C$29,Refinance_Calculator!$C$23,0,0)))</f>
        <v/>
      </c>
      <c r="D418" s="3" t="str">
        <f t="shared" si="57"/>
        <v/>
      </c>
      <c r="E418" s="3" t="str">
        <f>IF(A418="","",(-PPMT(Refinance_Calculator!$C$26/12,'Internal Working'!A418,Refinance_Calculator!$C$29,Refinance_Calculator!$C$23,0,0)))</f>
        <v/>
      </c>
      <c r="F418" s="3" t="str">
        <f t="shared" si="58"/>
        <v/>
      </c>
      <c r="G418" s="5" t="str">
        <f t="shared" si="59"/>
        <v/>
      </c>
      <c r="H418" s="36" t="str">
        <f t="shared" si="60"/>
        <v/>
      </c>
      <c r="I418" s="37" t="str">
        <f ca="1">+IF(A418 &lt;= $L$2, (Full_Report!C498-'Internal Working'!C418),"")</f>
        <v/>
      </c>
      <c r="J418" s="37" t="str">
        <f t="shared" ca="1" si="54"/>
        <v>0</v>
      </c>
      <c r="K418" s="35" t="str">
        <f t="shared" si="55"/>
        <v>0</v>
      </c>
      <c r="L418" s="35" t="str">
        <f t="shared" si="53"/>
        <v/>
      </c>
      <c r="M418" s="2"/>
    </row>
    <row r="419" spans="1:13" x14ac:dyDescent="0.25">
      <c r="A419" s="1" t="str">
        <f>IF(OR(A418="",F418=0,A418=Refinance_Calculator!$C$29),"",A418+1)</f>
        <v/>
      </c>
      <c r="B419" s="3" t="str">
        <f t="shared" si="56"/>
        <v/>
      </c>
      <c r="C419" s="3" t="str">
        <f>IF(A419="","",(-PMT(Refinance_Calculator!$C$26/12,Refinance_Calculator!$C$29,Refinance_Calculator!$C$23,0,0)))</f>
        <v/>
      </c>
      <c r="D419" s="3" t="str">
        <f t="shared" si="57"/>
        <v/>
      </c>
      <c r="E419" s="3" t="str">
        <f>IF(A419="","",(-PPMT(Refinance_Calculator!$C$26/12,'Internal Working'!A419,Refinance_Calculator!$C$29,Refinance_Calculator!$C$23,0,0)))</f>
        <v/>
      </c>
      <c r="F419" s="3" t="str">
        <f t="shared" si="58"/>
        <v/>
      </c>
      <c r="G419" s="5" t="str">
        <f t="shared" si="59"/>
        <v/>
      </c>
      <c r="H419" s="36" t="str">
        <f t="shared" si="60"/>
        <v/>
      </c>
      <c r="I419" s="37" t="str">
        <f ca="1">+IF(A419 &lt;= $L$2, (Full_Report!C499-'Internal Working'!C419),"")</f>
        <v/>
      </c>
      <c r="J419" s="37" t="str">
        <f t="shared" ca="1" si="54"/>
        <v>0</v>
      </c>
      <c r="K419" s="35" t="str">
        <f t="shared" si="55"/>
        <v>0</v>
      </c>
      <c r="L419" s="35" t="str">
        <f t="shared" si="53"/>
        <v/>
      </c>
      <c r="M419" s="2"/>
    </row>
    <row r="420" spans="1:13" x14ac:dyDescent="0.25">
      <c r="A420" s="1" t="str">
        <f>IF(OR(A419="",F419=0,A419=Refinance_Calculator!$C$29),"",A419+1)</f>
        <v/>
      </c>
      <c r="B420" s="3" t="str">
        <f t="shared" si="56"/>
        <v/>
      </c>
      <c r="C420" s="3" t="str">
        <f>IF(A420="","",(-PMT(Refinance_Calculator!$C$26/12,Refinance_Calculator!$C$29,Refinance_Calculator!$C$23,0,0)))</f>
        <v/>
      </c>
      <c r="D420" s="3" t="str">
        <f t="shared" si="57"/>
        <v/>
      </c>
      <c r="E420" s="3" t="str">
        <f>IF(A420="","",(-PPMT(Refinance_Calculator!$C$26/12,'Internal Working'!A420,Refinance_Calculator!$C$29,Refinance_Calculator!$C$23,0,0)))</f>
        <v/>
      </c>
      <c r="F420" s="3" t="str">
        <f t="shared" si="58"/>
        <v/>
      </c>
      <c r="G420" s="5" t="str">
        <f t="shared" si="59"/>
        <v/>
      </c>
      <c r="H420" s="36" t="str">
        <f t="shared" si="60"/>
        <v/>
      </c>
      <c r="I420" s="37" t="str">
        <f ca="1">+IF(A420 &lt;= $L$2, (Full_Report!C500-'Internal Working'!C420),"")</f>
        <v/>
      </c>
      <c r="J420" s="37" t="str">
        <f t="shared" ca="1" si="54"/>
        <v>0</v>
      </c>
      <c r="K420" s="35" t="str">
        <f t="shared" si="55"/>
        <v>0</v>
      </c>
      <c r="L420" s="35" t="str">
        <f t="shared" si="53"/>
        <v/>
      </c>
      <c r="M420" s="2"/>
    </row>
    <row r="421" spans="1:13" x14ac:dyDescent="0.25">
      <c r="A421" s="1" t="str">
        <f>IF(OR(A420="",F420=0,A420=Refinance_Calculator!$C$29),"",A420+1)</f>
        <v/>
      </c>
      <c r="B421" s="3" t="str">
        <f t="shared" si="56"/>
        <v/>
      </c>
      <c r="C421" s="3" t="str">
        <f>IF(A421="","",(-PMT(Refinance_Calculator!$C$26/12,Refinance_Calculator!$C$29,Refinance_Calculator!$C$23,0,0)))</f>
        <v/>
      </c>
      <c r="D421" s="3" t="str">
        <f t="shared" si="57"/>
        <v/>
      </c>
      <c r="E421" s="3" t="str">
        <f>IF(A421="","",(-PPMT(Refinance_Calculator!$C$26/12,'Internal Working'!A421,Refinance_Calculator!$C$29,Refinance_Calculator!$C$23,0,0)))</f>
        <v/>
      </c>
      <c r="F421" s="3" t="str">
        <f t="shared" si="58"/>
        <v/>
      </c>
      <c r="G421" s="5" t="str">
        <f t="shared" si="59"/>
        <v/>
      </c>
      <c r="H421" s="36" t="str">
        <f t="shared" si="60"/>
        <v/>
      </c>
      <c r="I421" s="37" t="str">
        <f ca="1">+IF(A421 &lt;= $L$2, (Full_Report!C501-'Internal Working'!C421),"")</f>
        <v/>
      </c>
      <c r="J421" s="37" t="str">
        <f t="shared" ca="1" si="54"/>
        <v>0</v>
      </c>
      <c r="K421" s="35" t="str">
        <f t="shared" si="55"/>
        <v>0</v>
      </c>
      <c r="L421" s="35" t="str">
        <f t="shared" si="53"/>
        <v/>
      </c>
      <c r="M421" s="2"/>
    </row>
    <row r="422" spans="1:13" x14ac:dyDescent="0.25">
      <c r="A422" s="1" t="str">
        <f>IF(OR(A421="",F421=0,A421=Refinance_Calculator!$C$29),"",A421+1)</f>
        <v/>
      </c>
      <c r="B422" s="3" t="str">
        <f t="shared" si="56"/>
        <v/>
      </c>
      <c r="C422" s="3" t="str">
        <f>IF(A422="","",(-PMT(Refinance_Calculator!$C$26/12,Refinance_Calculator!$C$29,Refinance_Calculator!$C$23,0,0)))</f>
        <v/>
      </c>
      <c r="D422" s="3" t="str">
        <f t="shared" si="57"/>
        <v/>
      </c>
      <c r="E422" s="3" t="str">
        <f>IF(A422="","",(-PPMT(Refinance_Calculator!$C$26/12,'Internal Working'!A422,Refinance_Calculator!$C$29,Refinance_Calculator!$C$23,0,0)))</f>
        <v/>
      </c>
      <c r="F422" s="3" t="str">
        <f t="shared" si="58"/>
        <v/>
      </c>
      <c r="G422" s="5" t="str">
        <f t="shared" si="59"/>
        <v/>
      </c>
      <c r="H422" s="36" t="str">
        <f t="shared" si="60"/>
        <v/>
      </c>
      <c r="I422" s="37" t="str">
        <f ca="1">+IF(A422 &lt;= $L$2, (Full_Report!C502-'Internal Working'!C422),"")</f>
        <v/>
      </c>
      <c r="J422" s="37" t="str">
        <f t="shared" ca="1" si="54"/>
        <v>0</v>
      </c>
      <c r="K422" s="35" t="str">
        <f t="shared" si="55"/>
        <v>0</v>
      </c>
      <c r="L422" s="35" t="str">
        <f t="shared" si="53"/>
        <v/>
      </c>
      <c r="M422" s="2"/>
    </row>
    <row r="423" spans="1:13" x14ac:dyDescent="0.25">
      <c r="A423" s="1" t="str">
        <f>IF(OR(A422="",F422=0,A422=Refinance_Calculator!$C$29),"",A422+1)</f>
        <v/>
      </c>
      <c r="B423" s="3" t="str">
        <f t="shared" si="56"/>
        <v/>
      </c>
      <c r="C423" s="3" t="str">
        <f>IF(A423="","",(-PMT(Refinance_Calculator!$C$26/12,Refinance_Calculator!$C$29,Refinance_Calculator!$C$23,0,0)))</f>
        <v/>
      </c>
      <c r="D423" s="3" t="str">
        <f t="shared" si="57"/>
        <v/>
      </c>
      <c r="E423" s="3" t="str">
        <f>IF(A423="","",(-PPMT(Refinance_Calculator!$C$26/12,'Internal Working'!A423,Refinance_Calculator!$C$29,Refinance_Calculator!$C$23,0,0)))</f>
        <v/>
      </c>
      <c r="F423" s="3" t="str">
        <f t="shared" si="58"/>
        <v/>
      </c>
      <c r="G423" s="5" t="str">
        <f t="shared" si="59"/>
        <v/>
      </c>
      <c r="H423" s="36" t="str">
        <f t="shared" si="60"/>
        <v/>
      </c>
      <c r="I423" s="37" t="str">
        <f ca="1">+IF(A423 &lt;= $L$2, (Full_Report!C503-'Internal Working'!C423),"")</f>
        <v/>
      </c>
      <c r="J423" s="37" t="str">
        <f t="shared" ca="1" si="54"/>
        <v>0</v>
      </c>
      <c r="K423" s="35" t="str">
        <f t="shared" si="55"/>
        <v>0</v>
      </c>
      <c r="L423" s="35" t="str">
        <f t="shared" si="53"/>
        <v/>
      </c>
      <c r="M423" s="2"/>
    </row>
    <row r="424" spans="1:13" x14ac:dyDescent="0.25">
      <c r="A424" s="1" t="str">
        <f>IF(OR(A423="",F423=0,A423=Refinance_Calculator!$C$29),"",A423+1)</f>
        <v/>
      </c>
      <c r="B424" s="3" t="str">
        <f t="shared" si="56"/>
        <v/>
      </c>
      <c r="C424" s="3" t="str">
        <f>IF(A424="","",(-PMT(Refinance_Calculator!$C$26/12,Refinance_Calculator!$C$29,Refinance_Calculator!$C$23,0,0)))</f>
        <v/>
      </c>
      <c r="D424" s="3" t="str">
        <f t="shared" si="57"/>
        <v/>
      </c>
      <c r="E424" s="3" t="str">
        <f>IF(A424="","",(-PPMT(Refinance_Calculator!$C$26/12,'Internal Working'!A424,Refinance_Calculator!$C$29,Refinance_Calculator!$C$23,0,0)))</f>
        <v/>
      </c>
      <c r="F424" s="3" t="str">
        <f t="shared" si="58"/>
        <v/>
      </c>
      <c r="G424" s="5" t="str">
        <f t="shared" si="59"/>
        <v/>
      </c>
      <c r="H424" s="36" t="str">
        <f t="shared" si="60"/>
        <v/>
      </c>
      <c r="I424" s="37" t="str">
        <f ca="1">+IF(A424 &lt;= $L$2, (Full_Report!C504-'Internal Working'!C424),"")</f>
        <v/>
      </c>
      <c r="J424" s="37" t="str">
        <f t="shared" ca="1" si="54"/>
        <v>0</v>
      </c>
      <c r="K424" s="35" t="str">
        <f t="shared" si="55"/>
        <v>0</v>
      </c>
      <c r="L424" s="35" t="str">
        <f t="shared" si="53"/>
        <v/>
      </c>
      <c r="M424" s="2"/>
    </row>
    <row r="425" spans="1:13" x14ac:dyDescent="0.25">
      <c r="A425" s="1" t="str">
        <f>IF(OR(A424="",F424=0,A424=Refinance_Calculator!$C$29),"",A424+1)</f>
        <v/>
      </c>
      <c r="B425" s="3" t="str">
        <f t="shared" si="56"/>
        <v/>
      </c>
      <c r="C425" s="3" t="str">
        <f>IF(A425="","",(-PMT(Refinance_Calculator!$C$26/12,Refinance_Calculator!$C$29,Refinance_Calculator!$C$23,0,0)))</f>
        <v/>
      </c>
      <c r="D425" s="3" t="str">
        <f t="shared" si="57"/>
        <v/>
      </c>
      <c r="E425" s="3" t="str">
        <f>IF(A425="","",(-PPMT(Refinance_Calculator!$C$26/12,'Internal Working'!A425,Refinance_Calculator!$C$29,Refinance_Calculator!$C$23,0,0)))</f>
        <v/>
      </c>
      <c r="F425" s="3" t="str">
        <f t="shared" si="58"/>
        <v/>
      </c>
      <c r="G425" s="5" t="str">
        <f t="shared" si="59"/>
        <v/>
      </c>
      <c r="H425" s="36" t="str">
        <f t="shared" si="60"/>
        <v/>
      </c>
      <c r="I425" s="37" t="str">
        <f ca="1">+IF(A425 &lt;= $L$2, (Full_Report!C505-'Internal Working'!C425),"")</f>
        <v/>
      </c>
      <c r="J425" s="37" t="str">
        <f t="shared" ca="1" si="54"/>
        <v>0</v>
      </c>
      <c r="K425" s="35" t="str">
        <f t="shared" si="55"/>
        <v>0</v>
      </c>
      <c r="L425" s="35" t="str">
        <f t="shared" si="53"/>
        <v/>
      </c>
      <c r="M425" s="2"/>
    </row>
    <row r="426" spans="1:13" x14ac:dyDescent="0.25">
      <c r="A426" s="1" t="str">
        <f>IF(OR(A425="",F425=0,A425=Refinance_Calculator!$C$29),"",A425+1)</f>
        <v/>
      </c>
      <c r="B426" s="3" t="str">
        <f t="shared" si="56"/>
        <v/>
      </c>
      <c r="C426" s="3" t="str">
        <f>IF(A426="","",(-PMT(Refinance_Calculator!$C$26/12,Refinance_Calculator!$C$29,Refinance_Calculator!$C$23,0,0)))</f>
        <v/>
      </c>
      <c r="D426" s="3" t="str">
        <f t="shared" si="57"/>
        <v/>
      </c>
      <c r="E426" s="3" t="str">
        <f>IF(A426="","",(-PPMT(Refinance_Calculator!$C$26/12,'Internal Working'!A426,Refinance_Calculator!$C$29,Refinance_Calculator!$C$23,0,0)))</f>
        <v/>
      </c>
      <c r="F426" s="3" t="str">
        <f t="shared" si="58"/>
        <v/>
      </c>
      <c r="G426" s="5" t="str">
        <f t="shared" si="59"/>
        <v/>
      </c>
      <c r="H426" s="36" t="str">
        <f t="shared" si="60"/>
        <v/>
      </c>
      <c r="I426" s="37" t="str">
        <f ca="1">+IF(A426 &lt;= $L$2, (Full_Report!C506-'Internal Working'!C426),"")</f>
        <v/>
      </c>
      <c r="J426" s="37" t="str">
        <f t="shared" ca="1" si="54"/>
        <v>0</v>
      </c>
      <c r="K426" s="35" t="str">
        <f t="shared" si="55"/>
        <v>0</v>
      </c>
      <c r="L426" s="35" t="str">
        <f t="shared" si="53"/>
        <v/>
      </c>
      <c r="M426" s="2"/>
    </row>
    <row r="427" spans="1:13" x14ac:dyDescent="0.25">
      <c r="A427" s="1" t="str">
        <f>IF(OR(A426="",F426=0,A426=Refinance_Calculator!$C$29),"",A426+1)</f>
        <v/>
      </c>
      <c r="B427" s="3" t="str">
        <f t="shared" si="56"/>
        <v/>
      </c>
      <c r="C427" s="3" t="str">
        <f>IF(A427="","",(-PMT(Refinance_Calculator!$C$26/12,Refinance_Calculator!$C$29,Refinance_Calculator!$C$23,0,0)))</f>
        <v/>
      </c>
      <c r="D427" s="3" t="str">
        <f t="shared" si="57"/>
        <v/>
      </c>
      <c r="E427" s="3" t="str">
        <f>IF(A427="","",(-PPMT(Refinance_Calculator!$C$26/12,'Internal Working'!A427,Refinance_Calculator!$C$29,Refinance_Calculator!$C$23,0,0)))</f>
        <v/>
      </c>
      <c r="F427" s="3" t="str">
        <f t="shared" si="58"/>
        <v/>
      </c>
      <c r="G427" s="5" t="str">
        <f t="shared" si="59"/>
        <v/>
      </c>
      <c r="H427" s="36" t="str">
        <f t="shared" si="60"/>
        <v/>
      </c>
      <c r="I427" s="37" t="str">
        <f ca="1">+IF(A427 &lt;= $L$2, (Full_Report!C507-'Internal Working'!C427),"")</f>
        <v/>
      </c>
      <c r="J427" s="37" t="str">
        <f t="shared" ca="1" si="54"/>
        <v>0</v>
      </c>
      <c r="K427" s="35" t="str">
        <f t="shared" si="55"/>
        <v>0</v>
      </c>
      <c r="L427" s="35" t="str">
        <f t="shared" si="53"/>
        <v/>
      </c>
      <c r="M427" s="2"/>
    </row>
    <row r="428" spans="1:13" x14ac:dyDescent="0.25">
      <c r="A428" s="1" t="str">
        <f>IF(OR(A427="",F427=0,A427=Refinance_Calculator!$C$29),"",A427+1)</f>
        <v/>
      </c>
      <c r="B428" s="3" t="str">
        <f t="shared" si="56"/>
        <v/>
      </c>
      <c r="C428" s="3" t="str">
        <f>IF(A428="","",(-PMT(Refinance_Calculator!$C$26/12,Refinance_Calculator!$C$29,Refinance_Calculator!$C$23,0,0)))</f>
        <v/>
      </c>
      <c r="D428" s="3" t="str">
        <f t="shared" si="57"/>
        <v/>
      </c>
      <c r="E428" s="3" t="str">
        <f>IF(A428="","",(-PPMT(Refinance_Calculator!$C$26/12,'Internal Working'!A428,Refinance_Calculator!$C$29,Refinance_Calculator!$C$23,0,0)))</f>
        <v/>
      </c>
      <c r="F428" s="3" t="str">
        <f t="shared" si="58"/>
        <v/>
      </c>
      <c r="G428" s="5" t="str">
        <f t="shared" si="59"/>
        <v/>
      </c>
      <c r="H428" s="36" t="str">
        <f t="shared" si="60"/>
        <v/>
      </c>
      <c r="I428" s="37" t="str">
        <f ca="1">+IF(A428 &lt;= $L$2, (Full_Report!C508-'Internal Working'!C428),"")</f>
        <v/>
      </c>
      <c r="J428" s="37" t="str">
        <f t="shared" ca="1" si="54"/>
        <v>0</v>
      </c>
      <c r="K428" s="35" t="str">
        <f t="shared" si="55"/>
        <v>0</v>
      </c>
      <c r="L428" s="35" t="str">
        <f t="shared" si="53"/>
        <v/>
      </c>
      <c r="M428" s="2"/>
    </row>
    <row r="429" spans="1:13" x14ac:dyDescent="0.25">
      <c r="A429" s="1" t="str">
        <f>IF(OR(A428="",F428=0,A428=Refinance_Calculator!$C$29),"",A428+1)</f>
        <v/>
      </c>
      <c r="B429" s="3" t="str">
        <f t="shared" si="56"/>
        <v/>
      </c>
      <c r="C429" s="3" t="str">
        <f>IF(A429="","",(-PMT(Refinance_Calculator!$C$26/12,Refinance_Calculator!$C$29,Refinance_Calculator!$C$23,0,0)))</f>
        <v/>
      </c>
      <c r="D429" s="3" t="str">
        <f t="shared" si="57"/>
        <v/>
      </c>
      <c r="E429" s="3" t="str">
        <f>IF(A429="","",(-PPMT(Refinance_Calculator!$C$26/12,'Internal Working'!A429,Refinance_Calculator!$C$29,Refinance_Calculator!$C$23,0,0)))</f>
        <v/>
      </c>
      <c r="F429" s="3" t="str">
        <f t="shared" si="58"/>
        <v/>
      </c>
      <c r="G429" s="5" t="str">
        <f t="shared" si="59"/>
        <v/>
      </c>
      <c r="H429" s="36" t="str">
        <f t="shared" si="60"/>
        <v/>
      </c>
      <c r="I429" s="37" t="str">
        <f ca="1">+IF(A429 &lt;= $L$2, (Full_Report!C509-'Internal Working'!C429),"")</f>
        <v/>
      </c>
      <c r="J429" s="37" t="str">
        <f t="shared" ca="1" si="54"/>
        <v>0</v>
      </c>
      <c r="K429" s="35" t="str">
        <f t="shared" si="55"/>
        <v>0</v>
      </c>
      <c r="L429" s="35" t="str">
        <f t="shared" si="53"/>
        <v/>
      </c>
      <c r="M429" s="2"/>
    </row>
    <row r="430" spans="1:13" x14ac:dyDescent="0.25">
      <c r="A430" s="1" t="str">
        <f>IF(OR(A429="",F429=0,A429=Refinance_Calculator!$C$29),"",A429+1)</f>
        <v/>
      </c>
      <c r="B430" s="3" t="str">
        <f t="shared" si="56"/>
        <v/>
      </c>
      <c r="C430" s="3" t="str">
        <f>IF(A430="","",(-PMT(Refinance_Calculator!$C$26/12,Refinance_Calculator!$C$29,Refinance_Calculator!$C$23,0,0)))</f>
        <v/>
      </c>
      <c r="D430" s="3" t="str">
        <f t="shared" si="57"/>
        <v/>
      </c>
      <c r="E430" s="3" t="str">
        <f>IF(A430="","",(-PPMT(Refinance_Calculator!$C$26/12,'Internal Working'!A430,Refinance_Calculator!$C$29,Refinance_Calculator!$C$23,0,0)))</f>
        <v/>
      </c>
      <c r="F430" s="3" t="str">
        <f t="shared" si="58"/>
        <v/>
      </c>
      <c r="G430" s="5" t="str">
        <f t="shared" si="59"/>
        <v/>
      </c>
      <c r="H430" s="36" t="str">
        <f t="shared" si="60"/>
        <v/>
      </c>
      <c r="I430" s="37" t="str">
        <f ca="1">+IF(A430 &lt;= $L$2, (Full_Report!C510-'Internal Working'!C430),"")</f>
        <v/>
      </c>
      <c r="J430" s="37" t="str">
        <f t="shared" ca="1" si="54"/>
        <v>0</v>
      </c>
      <c r="K430" s="35" t="str">
        <f t="shared" si="55"/>
        <v>0</v>
      </c>
      <c r="L430" s="35" t="str">
        <f t="shared" si="53"/>
        <v/>
      </c>
      <c r="M430" s="2"/>
    </row>
    <row r="431" spans="1:13" x14ac:dyDescent="0.25">
      <c r="A431" s="1" t="str">
        <f>IF(OR(A430="",F430=0,A430=Refinance_Calculator!$C$29),"",A430+1)</f>
        <v/>
      </c>
      <c r="B431" s="3" t="str">
        <f t="shared" si="56"/>
        <v/>
      </c>
      <c r="C431" s="3" t="str">
        <f>IF(A431="","",(-PMT(Refinance_Calculator!$C$26/12,Refinance_Calculator!$C$29,Refinance_Calculator!$C$23,0,0)))</f>
        <v/>
      </c>
      <c r="D431" s="3" t="str">
        <f t="shared" si="57"/>
        <v/>
      </c>
      <c r="E431" s="3" t="str">
        <f>IF(A431="","",(-PPMT(Refinance_Calculator!$C$26/12,'Internal Working'!A431,Refinance_Calculator!$C$29,Refinance_Calculator!$C$23,0,0)))</f>
        <v/>
      </c>
      <c r="F431" s="3" t="str">
        <f t="shared" si="58"/>
        <v/>
      </c>
      <c r="G431" s="5" t="str">
        <f t="shared" si="59"/>
        <v/>
      </c>
      <c r="H431" s="36" t="str">
        <f t="shared" si="60"/>
        <v/>
      </c>
      <c r="I431" s="37" t="str">
        <f ca="1">+IF(A431 &lt;= $L$2, (Full_Report!C511-'Internal Working'!C431),"")</f>
        <v/>
      </c>
      <c r="J431" s="37" t="str">
        <f t="shared" ca="1" si="54"/>
        <v>0</v>
      </c>
      <c r="K431" s="35" t="str">
        <f t="shared" si="55"/>
        <v>0</v>
      </c>
      <c r="L431" s="35" t="str">
        <f t="shared" si="53"/>
        <v/>
      </c>
      <c r="M431" s="2"/>
    </row>
    <row r="432" spans="1:13" x14ac:dyDescent="0.25">
      <c r="A432" s="1" t="str">
        <f>IF(OR(A431="",F431=0,A431=Refinance_Calculator!$C$29),"",A431+1)</f>
        <v/>
      </c>
      <c r="B432" s="3" t="str">
        <f t="shared" si="56"/>
        <v/>
      </c>
      <c r="C432" s="3" t="str">
        <f>IF(A432="","",(-PMT(Refinance_Calculator!$C$26/12,Refinance_Calculator!$C$29,Refinance_Calculator!$C$23,0,0)))</f>
        <v/>
      </c>
      <c r="D432" s="3" t="str">
        <f t="shared" si="57"/>
        <v/>
      </c>
      <c r="E432" s="3" t="str">
        <f>IF(A432="","",(-PPMT(Refinance_Calculator!$C$26/12,'Internal Working'!A432,Refinance_Calculator!$C$29,Refinance_Calculator!$C$23,0,0)))</f>
        <v/>
      </c>
      <c r="F432" s="3" t="str">
        <f t="shared" si="58"/>
        <v/>
      </c>
      <c r="G432" s="5" t="str">
        <f t="shared" si="59"/>
        <v/>
      </c>
      <c r="H432" s="36" t="str">
        <f t="shared" si="60"/>
        <v/>
      </c>
      <c r="I432" s="37" t="str">
        <f ca="1">+IF(A432 &lt;= $L$2, (Full_Report!C512-'Internal Working'!C432),"")</f>
        <v/>
      </c>
      <c r="J432" s="37" t="str">
        <f t="shared" ca="1" si="54"/>
        <v>0</v>
      </c>
      <c r="K432" s="35" t="str">
        <f t="shared" si="55"/>
        <v>0</v>
      </c>
      <c r="L432" s="35" t="str">
        <f t="shared" si="53"/>
        <v/>
      </c>
      <c r="M432" s="2"/>
    </row>
    <row r="433" spans="1:13" x14ac:dyDescent="0.25">
      <c r="A433" s="1" t="str">
        <f>IF(OR(A432="",F432=0,A432=Refinance_Calculator!$C$29),"",A432+1)</f>
        <v/>
      </c>
      <c r="B433" s="3" t="str">
        <f t="shared" si="56"/>
        <v/>
      </c>
      <c r="C433" s="3" t="str">
        <f>IF(A433="","",(-PMT(Refinance_Calculator!$C$26/12,Refinance_Calculator!$C$29,Refinance_Calculator!$C$23,0,0)))</f>
        <v/>
      </c>
      <c r="D433" s="3" t="str">
        <f t="shared" si="57"/>
        <v/>
      </c>
      <c r="E433" s="3" t="str">
        <f>IF(A433="","",(-PPMT(Refinance_Calculator!$C$26/12,'Internal Working'!A433,Refinance_Calculator!$C$29,Refinance_Calculator!$C$23,0,0)))</f>
        <v/>
      </c>
      <c r="F433" s="3" t="str">
        <f t="shared" si="58"/>
        <v/>
      </c>
      <c r="G433" s="5" t="str">
        <f t="shared" si="59"/>
        <v/>
      </c>
      <c r="H433" s="36" t="str">
        <f t="shared" si="60"/>
        <v/>
      </c>
      <c r="I433" s="37" t="str">
        <f ca="1">+IF(A433 &lt;= $L$2, (Full_Report!C513-'Internal Working'!C433),"")</f>
        <v/>
      </c>
      <c r="J433" s="37" t="str">
        <f t="shared" ca="1" si="54"/>
        <v>0</v>
      </c>
      <c r="K433" s="35" t="str">
        <f t="shared" si="55"/>
        <v>0</v>
      </c>
      <c r="L433" s="35" t="str">
        <f t="shared" si="53"/>
        <v/>
      </c>
      <c r="M433" s="2"/>
    </row>
    <row r="434" spans="1:13" x14ac:dyDescent="0.25">
      <c r="A434" s="1" t="str">
        <f>IF(OR(A433="",F433=0,A433=Refinance_Calculator!$C$29),"",A433+1)</f>
        <v/>
      </c>
      <c r="B434" s="3" t="str">
        <f t="shared" si="56"/>
        <v/>
      </c>
      <c r="C434" s="3" t="str">
        <f>IF(A434="","",(-PMT(Refinance_Calculator!$C$26/12,Refinance_Calculator!$C$29,Refinance_Calculator!$C$23,0,0)))</f>
        <v/>
      </c>
      <c r="D434" s="3" t="str">
        <f t="shared" si="57"/>
        <v/>
      </c>
      <c r="E434" s="3" t="str">
        <f>IF(A434="","",(-PPMT(Refinance_Calculator!$C$26/12,'Internal Working'!A434,Refinance_Calculator!$C$29,Refinance_Calculator!$C$23,0,0)))</f>
        <v/>
      </c>
      <c r="F434" s="3" t="str">
        <f t="shared" si="58"/>
        <v/>
      </c>
      <c r="G434" s="5" t="str">
        <f t="shared" si="59"/>
        <v/>
      </c>
      <c r="H434" s="36" t="str">
        <f t="shared" si="60"/>
        <v/>
      </c>
      <c r="I434" s="37" t="str">
        <f ca="1">+IF(A434 &lt;= $L$2, (Full_Report!C514-'Internal Working'!C434),"")</f>
        <v/>
      </c>
      <c r="J434" s="37" t="str">
        <f t="shared" ca="1" si="54"/>
        <v>0</v>
      </c>
      <c r="K434" s="35" t="str">
        <f t="shared" si="55"/>
        <v>0</v>
      </c>
      <c r="L434" s="35" t="str">
        <f t="shared" si="53"/>
        <v/>
      </c>
      <c r="M434" s="2"/>
    </row>
    <row r="435" spans="1:13" x14ac:dyDescent="0.25">
      <c r="A435" s="1" t="str">
        <f>IF(OR(A434="",F434=0,A434=Refinance_Calculator!$C$29),"",A434+1)</f>
        <v/>
      </c>
      <c r="B435" s="3" t="str">
        <f t="shared" si="56"/>
        <v/>
      </c>
      <c r="C435" s="3" t="str">
        <f>IF(A435="","",(-PMT(Refinance_Calculator!$C$26/12,Refinance_Calculator!$C$29,Refinance_Calculator!$C$23,0,0)))</f>
        <v/>
      </c>
      <c r="D435" s="3" t="str">
        <f t="shared" si="57"/>
        <v/>
      </c>
      <c r="E435" s="3" t="str">
        <f>IF(A435="","",(-PPMT(Refinance_Calculator!$C$26/12,'Internal Working'!A435,Refinance_Calculator!$C$29,Refinance_Calculator!$C$23,0,0)))</f>
        <v/>
      </c>
      <c r="F435" s="3" t="str">
        <f t="shared" si="58"/>
        <v/>
      </c>
      <c r="G435" s="5" t="str">
        <f t="shared" si="59"/>
        <v/>
      </c>
      <c r="H435" s="36" t="str">
        <f t="shared" si="60"/>
        <v/>
      </c>
      <c r="I435" s="37" t="str">
        <f ca="1">+IF(A435 &lt;= $L$2, (Full_Report!C515-'Internal Working'!C435),"")</f>
        <v/>
      </c>
      <c r="J435" s="37" t="str">
        <f t="shared" ca="1" si="54"/>
        <v>0</v>
      </c>
      <c r="K435" s="35" t="str">
        <f t="shared" si="55"/>
        <v>0</v>
      </c>
      <c r="L435" s="35" t="str">
        <f t="shared" si="53"/>
        <v/>
      </c>
      <c r="M435" s="2"/>
    </row>
    <row r="436" spans="1:13" x14ac:dyDescent="0.25">
      <c r="A436" s="1" t="str">
        <f>IF(OR(A435="",F435=0,A435=Refinance_Calculator!$C$29),"",A435+1)</f>
        <v/>
      </c>
      <c r="B436" s="3" t="str">
        <f t="shared" si="56"/>
        <v/>
      </c>
      <c r="C436" s="3" t="str">
        <f>IF(A436="","",(-PMT(Refinance_Calculator!$C$26/12,Refinance_Calculator!$C$29,Refinance_Calculator!$C$23,0,0)))</f>
        <v/>
      </c>
      <c r="D436" s="3" t="str">
        <f t="shared" si="57"/>
        <v/>
      </c>
      <c r="E436" s="3" t="str">
        <f>IF(A436="","",(-PPMT(Refinance_Calculator!$C$26/12,'Internal Working'!A436,Refinance_Calculator!$C$29,Refinance_Calculator!$C$23,0,0)))</f>
        <v/>
      </c>
      <c r="F436" s="3" t="str">
        <f t="shared" si="58"/>
        <v/>
      </c>
      <c r="G436" s="5" t="str">
        <f t="shared" si="59"/>
        <v/>
      </c>
      <c r="H436" s="36" t="str">
        <f t="shared" si="60"/>
        <v/>
      </c>
      <c r="I436" s="37" t="str">
        <f ca="1">+IF(A436 &lt;= $L$2, (Full_Report!C516-'Internal Working'!C436),"")</f>
        <v/>
      </c>
      <c r="J436" s="37" t="str">
        <f t="shared" ca="1" si="54"/>
        <v>0</v>
      </c>
      <c r="K436" s="35" t="str">
        <f t="shared" si="55"/>
        <v>0</v>
      </c>
      <c r="L436" s="35" t="str">
        <f t="shared" si="53"/>
        <v/>
      </c>
      <c r="M436" s="2"/>
    </row>
    <row r="437" spans="1:13" x14ac:dyDescent="0.25">
      <c r="A437" s="1" t="str">
        <f>IF(OR(A436="",F436=0,A436=Refinance_Calculator!$C$29),"",A436+1)</f>
        <v/>
      </c>
      <c r="B437" s="3" t="str">
        <f t="shared" si="56"/>
        <v/>
      </c>
      <c r="C437" s="3" t="str">
        <f>IF(A437="","",(-PMT(Refinance_Calculator!$C$26/12,Refinance_Calculator!$C$29,Refinance_Calculator!$C$23,0,0)))</f>
        <v/>
      </c>
      <c r="D437" s="3" t="str">
        <f t="shared" si="57"/>
        <v/>
      </c>
      <c r="E437" s="3" t="str">
        <f>IF(A437="","",(-PPMT(Refinance_Calculator!$C$26/12,'Internal Working'!A437,Refinance_Calculator!$C$29,Refinance_Calculator!$C$23,0,0)))</f>
        <v/>
      </c>
      <c r="F437" s="3" t="str">
        <f t="shared" si="58"/>
        <v/>
      </c>
      <c r="G437" s="5" t="str">
        <f t="shared" si="59"/>
        <v/>
      </c>
      <c r="H437" s="36" t="str">
        <f t="shared" si="60"/>
        <v/>
      </c>
      <c r="I437" s="37" t="str">
        <f ca="1">+IF(A437 &lt;= $L$2, (Full_Report!C517-'Internal Working'!C437),"")</f>
        <v/>
      </c>
      <c r="J437" s="37" t="str">
        <f t="shared" ca="1" si="54"/>
        <v>0</v>
      </c>
      <c r="K437" s="35" t="str">
        <f t="shared" si="55"/>
        <v>0</v>
      </c>
      <c r="L437" s="35" t="str">
        <f t="shared" si="53"/>
        <v/>
      </c>
      <c r="M437" s="2"/>
    </row>
    <row r="438" spans="1:13" x14ac:dyDescent="0.25">
      <c r="A438" s="1" t="str">
        <f>IF(OR(A437="",F437=0,A437=Refinance_Calculator!$C$29),"",A437+1)</f>
        <v/>
      </c>
      <c r="B438" s="3" t="str">
        <f t="shared" si="56"/>
        <v/>
      </c>
      <c r="C438" s="3" t="str">
        <f>IF(A438="","",(-PMT(Refinance_Calculator!$C$26/12,Refinance_Calculator!$C$29,Refinance_Calculator!$C$23,0,0)))</f>
        <v/>
      </c>
      <c r="D438" s="3" t="str">
        <f t="shared" si="57"/>
        <v/>
      </c>
      <c r="E438" s="3" t="str">
        <f>IF(A438="","",(-PPMT(Refinance_Calculator!$C$26/12,'Internal Working'!A438,Refinance_Calculator!$C$29,Refinance_Calculator!$C$23,0,0)))</f>
        <v/>
      </c>
      <c r="F438" s="3" t="str">
        <f t="shared" si="58"/>
        <v/>
      </c>
      <c r="G438" s="5" t="str">
        <f t="shared" si="59"/>
        <v/>
      </c>
      <c r="H438" s="36" t="str">
        <f t="shared" si="60"/>
        <v/>
      </c>
      <c r="I438" s="37" t="str">
        <f ca="1">+IF(A438 &lt;= $L$2, (Full_Report!C518-'Internal Working'!C438),"")</f>
        <v/>
      </c>
      <c r="J438" s="37" t="str">
        <f t="shared" ca="1" si="54"/>
        <v>0</v>
      </c>
      <c r="K438" s="35" t="str">
        <f t="shared" si="55"/>
        <v>0</v>
      </c>
      <c r="L438" s="35" t="str">
        <f t="shared" si="53"/>
        <v/>
      </c>
      <c r="M438" s="2"/>
    </row>
    <row r="439" spans="1:13" x14ac:dyDescent="0.25">
      <c r="A439" s="1" t="str">
        <f>IF(OR(A438="",F438=0,A438=Refinance_Calculator!$C$29),"",A438+1)</f>
        <v/>
      </c>
      <c r="B439" s="3" t="str">
        <f t="shared" si="56"/>
        <v/>
      </c>
      <c r="C439" s="3" t="str">
        <f>IF(A439="","",(-PMT(Refinance_Calculator!$C$26/12,Refinance_Calculator!$C$29,Refinance_Calculator!$C$23,0,0)))</f>
        <v/>
      </c>
      <c r="D439" s="3" t="str">
        <f t="shared" si="57"/>
        <v/>
      </c>
      <c r="E439" s="3" t="str">
        <f>IF(A439="","",(-PPMT(Refinance_Calculator!$C$26/12,'Internal Working'!A439,Refinance_Calculator!$C$29,Refinance_Calculator!$C$23,0,0)))</f>
        <v/>
      </c>
      <c r="F439" s="3" t="str">
        <f t="shared" si="58"/>
        <v/>
      </c>
      <c r="G439" s="5" t="str">
        <f t="shared" si="59"/>
        <v/>
      </c>
      <c r="H439" s="36" t="str">
        <f t="shared" si="60"/>
        <v/>
      </c>
      <c r="I439" s="37" t="str">
        <f ca="1">+IF(A439 &lt;= $L$2, (Full_Report!C519-'Internal Working'!C439),"")</f>
        <v/>
      </c>
      <c r="J439" s="37" t="str">
        <f t="shared" ca="1" si="54"/>
        <v>0</v>
      </c>
      <c r="K439" s="35" t="str">
        <f t="shared" si="55"/>
        <v>0</v>
      </c>
      <c r="L439" s="35" t="str">
        <f t="shared" si="53"/>
        <v/>
      </c>
      <c r="M439" s="2"/>
    </row>
    <row r="440" spans="1:13" x14ac:dyDescent="0.25">
      <c r="A440" s="1" t="str">
        <f>IF(OR(A439="",F439=0,A439=Refinance_Calculator!$C$29),"",A439+1)</f>
        <v/>
      </c>
      <c r="B440" s="3" t="str">
        <f t="shared" si="56"/>
        <v/>
      </c>
      <c r="C440" s="3" t="str">
        <f>IF(A440="","",(-PMT(Refinance_Calculator!$C$26/12,Refinance_Calculator!$C$29,Refinance_Calculator!$C$23,0,0)))</f>
        <v/>
      </c>
      <c r="D440" s="3" t="str">
        <f t="shared" si="57"/>
        <v/>
      </c>
      <c r="E440" s="3" t="str">
        <f>IF(A440="","",(-PPMT(Refinance_Calculator!$C$26/12,'Internal Working'!A440,Refinance_Calculator!$C$29,Refinance_Calculator!$C$23,0,0)))</f>
        <v/>
      </c>
      <c r="F440" s="3" t="str">
        <f t="shared" si="58"/>
        <v/>
      </c>
      <c r="G440" s="5" t="str">
        <f t="shared" si="59"/>
        <v/>
      </c>
      <c r="H440" s="36" t="str">
        <f t="shared" si="60"/>
        <v/>
      </c>
      <c r="I440" s="37" t="str">
        <f ca="1">+IF(A440 &lt;= $L$2, (Full_Report!C520-'Internal Working'!C440),"")</f>
        <v/>
      </c>
      <c r="J440" s="37" t="str">
        <f t="shared" ca="1" si="54"/>
        <v>0</v>
      </c>
      <c r="K440" s="35" t="str">
        <f t="shared" si="55"/>
        <v>0</v>
      </c>
      <c r="L440" s="35" t="str">
        <f t="shared" si="53"/>
        <v/>
      </c>
      <c r="M440" s="2"/>
    </row>
    <row r="441" spans="1:13" x14ac:dyDescent="0.25">
      <c r="A441" s="1" t="str">
        <f>IF(OR(A440="",F440=0,A440=Refinance_Calculator!$C$29),"",A440+1)</f>
        <v/>
      </c>
      <c r="B441" s="3" t="str">
        <f t="shared" si="56"/>
        <v/>
      </c>
      <c r="C441" s="3" t="str">
        <f>IF(A441="","",(-PMT(Refinance_Calculator!$C$26/12,Refinance_Calculator!$C$29,Refinance_Calculator!$C$23,0,0)))</f>
        <v/>
      </c>
      <c r="D441" s="3" t="str">
        <f t="shared" si="57"/>
        <v/>
      </c>
      <c r="E441" s="3" t="str">
        <f>IF(A441="","",(-PPMT(Refinance_Calculator!$C$26/12,'Internal Working'!A441,Refinance_Calculator!$C$29,Refinance_Calculator!$C$23,0,0)))</f>
        <v/>
      </c>
      <c r="F441" s="3" t="str">
        <f t="shared" si="58"/>
        <v/>
      </c>
      <c r="G441" s="5" t="str">
        <f t="shared" si="59"/>
        <v/>
      </c>
      <c r="H441" s="36" t="str">
        <f t="shared" si="60"/>
        <v/>
      </c>
      <c r="I441" s="37" t="str">
        <f ca="1">+IF(A441 &lt;= $L$2, (Full_Report!C521-'Internal Working'!C441),"")</f>
        <v/>
      </c>
      <c r="J441" s="37" t="str">
        <f t="shared" ca="1" si="54"/>
        <v>0</v>
      </c>
      <c r="K441" s="35" t="str">
        <f t="shared" si="55"/>
        <v>0</v>
      </c>
      <c r="L441" s="35" t="str">
        <f t="shared" si="53"/>
        <v/>
      </c>
      <c r="M441" s="2"/>
    </row>
    <row r="442" spans="1:13" x14ac:dyDescent="0.25">
      <c r="A442" s="1" t="str">
        <f>IF(OR(A441="",F441=0,A441=Refinance_Calculator!$C$29),"",A441+1)</f>
        <v/>
      </c>
      <c r="B442" s="3" t="str">
        <f t="shared" si="56"/>
        <v/>
      </c>
      <c r="C442" s="3" t="str">
        <f>IF(A442="","",(-PMT(Refinance_Calculator!$C$26/12,Refinance_Calculator!$C$29,Refinance_Calculator!$C$23,0,0)))</f>
        <v/>
      </c>
      <c r="D442" s="3" t="str">
        <f t="shared" si="57"/>
        <v/>
      </c>
      <c r="E442" s="3" t="str">
        <f>IF(A442="","",(-PPMT(Refinance_Calculator!$C$26/12,'Internal Working'!A442,Refinance_Calculator!$C$29,Refinance_Calculator!$C$23,0,0)))</f>
        <v/>
      </c>
      <c r="F442" s="3" t="str">
        <f t="shared" si="58"/>
        <v/>
      </c>
      <c r="G442" s="5" t="str">
        <f t="shared" si="59"/>
        <v/>
      </c>
      <c r="H442" s="36" t="str">
        <f t="shared" si="60"/>
        <v/>
      </c>
      <c r="I442" s="37" t="str">
        <f ca="1">+IF(A442 &lt;= $L$2, (Full_Report!C522-'Internal Working'!C442),"")</f>
        <v/>
      </c>
      <c r="J442" s="37" t="str">
        <f t="shared" ca="1" si="54"/>
        <v>0</v>
      </c>
      <c r="K442" s="35" t="str">
        <f t="shared" si="55"/>
        <v>0</v>
      </c>
      <c r="L442" s="35" t="str">
        <f t="shared" si="53"/>
        <v/>
      </c>
      <c r="M442" s="2"/>
    </row>
    <row r="443" spans="1:13" x14ac:dyDescent="0.25">
      <c r="A443" s="1" t="str">
        <f>IF(OR(A442="",F442=0,A442=Refinance_Calculator!$C$29),"",A442+1)</f>
        <v/>
      </c>
      <c r="B443" s="3" t="str">
        <f t="shared" si="56"/>
        <v/>
      </c>
      <c r="C443" s="3" t="str">
        <f>IF(A443="","",(-PMT(Refinance_Calculator!$C$26/12,Refinance_Calculator!$C$29,Refinance_Calculator!$C$23,0,0)))</f>
        <v/>
      </c>
      <c r="D443" s="3" t="str">
        <f t="shared" si="57"/>
        <v/>
      </c>
      <c r="E443" s="3" t="str">
        <f>IF(A443="","",(-PPMT(Refinance_Calculator!$C$26/12,'Internal Working'!A443,Refinance_Calculator!$C$29,Refinance_Calculator!$C$23,0,0)))</f>
        <v/>
      </c>
      <c r="F443" s="3" t="str">
        <f t="shared" si="58"/>
        <v/>
      </c>
      <c r="G443" s="5" t="str">
        <f t="shared" si="59"/>
        <v/>
      </c>
      <c r="H443" s="36" t="str">
        <f t="shared" si="60"/>
        <v/>
      </c>
      <c r="I443" s="37" t="str">
        <f ca="1">+IF(A443 &lt;= $L$2, (Full_Report!C523-'Internal Working'!C443),"")</f>
        <v/>
      </c>
      <c r="J443" s="37" t="str">
        <f t="shared" ca="1" si="54"/>
        <v>0</v>
      </c>
      <c r="K443" s="35" t="str">
        <f t="shared" si="55"/>
        <v>0</v>
      </c>
      <c r="L443" s="35" t="str">
        <f t="shared" si="53"/>
        <v/>
      </c>
      <c r="M443" s="2"/>
    </row>
    <row r="444" spans="1:13" x14ac:dyDescent="0.25">
      <c r="A444" s="1" t="str">
        <f>IF(OR(A443="",F443=0,A443=Refinance_Calculator!$C$29),"",A443+1)</f>
        <v/>
      </c>
      <c r="B444" s="3" t="str">
        <f t="shared" si="56"/>
        <v/>
      </c>
      <c r="C444" s="3" t="str">
        <f>IF(A444="","",(-PMT(Refinance_Calculator!$C$26/12,Refinance_Calculator!$C$29,Refinance_Calculator!$C$23,0,0)))</f>
        <v/>
      </c>
      <c r="D444" s="3" t="str">
        <f t="shared" si="57"/>
        <v/>
      </c>
      <c r="E444" s="3" t="str">
        <f>IF(A444="","",(-PPMT(Refinance_Calculator!$C$26/12,'Internal Working'!A444,Refinance_Calculator!$C$29,Refinance_Calculator!$C$23,0,0)))</f>
        <v/>
      </c>
      <c r="F444" s="3" t="str">
        <f t="shared" si="58"/>
        <v/>
      </c>
      <c r="G444" s="5" t="str">
        <f t="shared" si="59"/>
        <v/>
      </c>
      <c r="H444" s="36" t="str">
        <f t="shared" si="60"/>
        <v/>
      </c>
      <c r="I444" s="37" t="str">
        <f ca="1">+IF(A444 &lt;= $L$2, (Full_Report!C524-'Internal Working'!C444),"")</f>
        <v/>
      </c>
      <c r="J444" s="37" t="str">
        <f t="shared" ca="1" si="54"/>
        <v>0</v>
      </c>
      <c r="K444" s="35" t="str">
        <f t="shared" si="55"/>
        <v>0</v>
      </c>
      <c r="L444" s="35" t="str">
        <f t="shared" si="53"/>
        <v/>
      </c>
      <c r="M444" s="2"/>
    </row>
    <row r="445" spans="1:13" x14ac:dyDescent="0.25">
      <c r="A445" s="1" t="str">
        <f>IF(OR(A444="",F444=0,A444=Refinance_Calculator!$C$29),"",A444+1)</f>
        <v/>
      </c>
      <c r="B445" s="3" t="str">
        <f t="shared" si="56"/>
        <v/>
      </c>
      <c r="C445" s="3" t="str">
        <f>IF(A445="","",(-PMT(Refinance_Calculator!$C$26/12,Refinance_Calculator!$C$29,Refinance_Calculator!$C$23,0,0)))</f>
        <v/>
      </c>
      <c r="D445" s="3" t="str">
        <f t="shared" si="57"/>
        <v/>
      </c>
      <c r="E445" s="3" t="str">
        <f>IF(A445="","",(-PPMT(Refinance_Calculator!$C$26/12,'Internal Working'!A445,Refinance_Calculator!$C$29,Refinance_Calculator!$C$23,0,0)))</f>
        <v/>
      </c>
      <c r="F445" s="3" t="str">
        <f t="shared" si="58"/>
        <v/>
      </c>
      <c r="G445" s="5" t="str">
        <f t="shared" si="59"/>
        <v/>
      </c>
      <c r="H445" s="36" t="str">
        <f t="shared" si="60"/>
        <v/>
      </c>
      <c r="I445" s="37" t="str">
        <f ca="1">+IF(A445 &lt;= $L$2, (Full_Report!C525-'Internal Working'!C445),"")</f>
        <v/>
      </c>
      <c r="J445" s="37" t="str">
        <f t="shared" ca="1" si="54"/>
        <v>0</v>
      </c>
      <c r="K445" s="35" t="str">
        <f t="shared" si="55"/>
        <v>0</v>
      </c>
      <c r="L445" s="35" t="str">
        <f t="shared" si="53"/>
        <v/>
      </c>
      <c r="M445" s="2"/>
    </row>
    <row r="446" spans="1:13" x14ac:dyDescent="0.25">
      <c r="A446" s="1" t="str">
        <f>IF(OR(A445="",F445=0,A445=Refinance_Calculator!$C$29),"",A445+1)</f>
        <v/>
      </c>
      <c r="B446" s="3" t="str">
        <f t="shared" si="56"/>
        <v/>
      </c>
      <c r="C446" s="3" t="str">
        <f>IF(A446="","",(-PMT(Refinance_Calculator!$C$26/12,Refinance_Calculator!$C$29,Refinance_Calculator!$C$23,0,0)))</f>
        <v/>
      </c>
      <c r="D446" s="3" t="str">
        <f t="shared" si="57"/>
        <v/>
      </c>
      <c r="E446" s="3" t="str">
        <f>IF(A446="","",(-PPMT(Refinance_Calculator!$C$26/12,'Internal Working'!A446,Refinance_Calculator!$C$29,Refinance_Calculator!$C$23,0,0)))</f>
        <v/>
      </c>
      <c r="F446" s="3" t="str">
        <f t="shared" si="58"/>
        <v/>
      </c>
      <c r="G446" s="5" t="str">
        <f t="shared" si="59"/>
        <v/>
      </c>
      <c r="H446" s="36" t="str">
        <f t="shared" si="60"/>
        <v/>
      </c>
      <c r="I446" s="37" t="str">
        <f ca="1">+IF(A446 &lt;= $L$2, (Full_Report!C526-'Internal Working'!C446),"")</f>
        <v/>
      </c>
      <c r="J446" s="37" t="str">
        <f t="shared" ca="1" si="54"/>
        <v>0</v>
      </c>
      <c r="K446" s="35" t="str">
        <f t="shared" si="55"/>
        <v>0</v>
      </c>
      <c r="L446" s="35" t="str">
        <f t="shared" si="53"/>
        <v/>
      </c>
      <c r="M446" s="2"/>
    </row>
    <row r="447" spans="1:13" x14ac:dyDescent="0.25">
      <c r="A447" s="1" t="str">
        <f>IF(OR(A446="",F446=0,A446=Refinance_Calculator!$C$29),"",A446+1)</f>
        <v/>
      </c>
      <c r="B447" s="3" t="str">
        <f t="shared" si="56"/>
        <v/>
      </c>
      <c r="C447" s="3" t="str">
        <f>IF(A447="","",(-PMT(Refinance_Calculator!$C$26/12,Refinance_Calculator!$C$29,Refinance_Calculator!$C$23,0,0)))</f>
        <v/>
      </c>
      <c r="D447" s="3" t="str">
        <f t="shared" si="57"/>
        <v/>
      </c>
      <c r="E447" s="3" t="str">
        <f>IF(A447="","",(-PPMT(Refinance_Calculator!$C$26/12,'Internal Working'!A447,Refinance_Calculator!$C$29,Refinance_Calculator!$C$23,0,0)))</f>
        <v/>
      </c>
      <c r="F447" s="3" t="str">
        <f t="shared" si="58"/>
        <v/>
      </c>
      <c r="G447" s="5" t="str">
        <f t="shared" si="59"/>
        <v/>
      </c>
      <c r="H447" s="36" t="str">
        <f t="shared" si="60"/>
        <v/>
      </c>
      <c r="I447" s="37" t="str">
        <f ca="1">+IF(A447 &lt;= $L$2, (Full_Report!C527-'Internal Working'!C447),"")</f>
        <v/>
      </c>
      <c r="J447" s="37" t="str">
        <f t="shared" ca="1" si="54"/>
        <v>0</v>
      </c>
      <c r="K447" s="35" t="str">
        <f t="shared" si="55"/>
        <v>0</v>
      </c>
      <c r="L447" s="35" t="str">
        <f t="shared" si="53"/>
        <v/>
      </c>
      <c r="M447" s="2"/>
    </row>
    <row r="448" spans="1:13" x14ac:dyDescent="0.25">
      <c r="A448" s="1" t="str">
        <f>IF(OR(A447="",F447=0,A447=Refinance_Calculator!$C$29),"",A447+1)</f>
        <v/>
      </c>
      <c r="B448" s="3" t="str">
        <f t="shared" si="56"/>
        <v/>
      </c>
      <c r="C448" s="3" t="str">
        <f>IF(A448="","",(-PMT(Refinance_Calculator!$C$26/12,Refinance_Calculator!$C$29,Refinance_Calculator!$C$23,0,0)))</f>
        <v/>
      </c>
      <c r="D448" s="3" t="str">
        <f t="shared" si="57"/>
        <v/>
      </c>
      <c r="E448" s="3" t="str">
        <f>IF(A448="","",(-PPMT(Refinance_Calculator!$C$26/12,'Internal Working'!A448,Refinance_Calculator!$C$29,Refinance_Calculator!$C$23,0,0)))</f>
        <v/>
      </c>
      <c r="F448" s="3" t="str">
        <f t="shared" si="58"/>
        <v/>
      </c>
      <c r="G448" s="5" t="str">
        <f t="shared" si="59"/>
        <v/>
      </c>
      <c r="H448" s="36" t="str">
        <f t="shared" si="60"/>
        <v/>
      </c>
      <c r="I448" s="37" t="str">
        <f ca="1">+IF(A448 &lt;= $L$2, (Full_Report!C528-'Internal Working'!C448),"")</f>
        <v/>
      </c>
      <c r="J448" s="37" t="str">
        <f t="shared" ca="1" si="54"/>
        <v>0</v>
      </c>
      <c r="K448" s="35" t="str">
        <f t="shared" si="55"/>
        <v>0</v>
      </c>
      <c r="L448" s="35" t="str">
        <f t="shared" si="53"/>
        <v/>
      </c>
      <c r="M448" s="2"/>
    </row>
    <row r="449" spans="1:13" x14ac:dyDescent="0.25">
      <c r="A449" s="1" t="str">
        <f>IF(OR(A448="",F448=0,A448=Refinance_Calculator!$C$29),"",A448+1)</f>
        <v/>
      </c>
      <c r="B449" s="3" t="str">
        <f t="shared" si="56"/>
        <v/>
      </c>
      <c r="C449" s="3" t="str">
        <f>IF(A449="","",(-PMT(Refinance_Calculator!$C$26/12,Refinance_Calculator!$C$29,Refinance_Calculator!$C$23,0,0)))</f>
        <v/>
      </c>
      <c r="D449" s="3" t="str">
        <f t="shared" si="57"/>
        <v/>
      </c>
      <c r="E449" s="3" t="str">
        <f>IF(A449="","",(-PPMT(Refinance_Calculator!$C$26/12,'Internal Working'!A449,Refinance_Calculator!$C$29,Refinance_Calculator!$C$23,0,0)))</f>
        <v/>
      </c>
      <c r="F449" s="3" t="str">
        <f t="shared" si="58"/>
        <v/>
      </c>
      <c r="G449" s="5" t="str">
        <f t="shared" si="59"/>
        <v/>
      </c>
      <c r="H449" s="36" t="str">
        <f t="shared" si="60"/>
        <v/>
      </c>
      <c r="I449" s="37" t="str">
        <f ca="1">+IF(A449 &lt;= $L$2, (Full_Report!C529-'Internal Working'!C449),"")</f>
        <v/>
      </c>
      <c r="J449" s="37" t="str">
        <f t="shared" ca="1" si="54"/>
        <v>0</v>
      </c>
      <c r="K449" s="35" t="str">
        <f t="shared" si="55"/>
        <v>0</v>
      </c>
      <c r="L449" s="35" t="str">
        <f t="shared" si="53"/>
        <v/>
      </c>
      <c r="M449" s="2"/>
    </row>
    <row r="450" spans="1:13" x14ac:dyDescent="0.25">
      <c r="A450" s="1" t="str">
        <f>IF(OR(A449="",F449=0,A449=Refinance_Calculator!$C$29),"",A449+1)</f>
        <v/>
      </c>
      <c r="B450" s="3" t="str">
        <f t="shared" si="56"/>
        <v/>
      </c>
      <c r="C450" s="3" t="str">
        <f>IF(A450="","",(-PMT(Refinance_Calculator!$C$26/12,Refinance_Calculator!$C$29,Refinance_Calculator!$C$23,0,0)))</f>
        <v/>
      </c>
      <c r="D450" s="3" t="str">
        <f t="shared" si="57"/>
        <v/>
      </c>
      <c r="E450" s="3" t="str">
        <f>IF(A450="","",(-PPMT(Refinance_Calculator!$C$26/12,'Internal Working'!A450,Refinance_Calculator!$C$29,Refinance_Calculator!$C$23,0,0)))</f>
        <v/>
      </c>
      <c r="F450" s="3" t="str">
        <f t="shared" si="58"/>
        <v/>
      </c>
      <c r="G450" s="5" t="str">
        <f t="shared" si="59"/>
        <v/>
      </c>
      <c r="H450" s="36" t="str">
        <f t="shared" si="60"/>
        <v/>
      </c>
      <c r="I450" s="37" t="str">
        <f ca="1">+IF(A450 &lt;= $L$2, (Full_Report!C530-'Internal Working'!C450),"")</f>
        <v/>
      </c>
      <c r="J450" s="37" t="str">
        <f t="shared" ca="1" si="54"/>
        <v>0</v>
      </c>
      <c r="K450" s="35" t="str">
        <f t="shared" si="55"/>
        <v>0</v>
      </c>
      <c r="L450" s="35" t="str">
        <f t="shared" si="53"/>
        <v/>
      </c>
      <c r="M450" s="2"/>
    </row>
    <row r="451" spans="1:13" x14ac:dyDescent="0.25">
      <c r="A451" s="1" t="str">
        <f>IF(OR(A450="",F450=0,A450=Refinance_Calculator!$C$29),"",A450+1)</f>
        <v/>
      </c>
      <c r="B451" s="3" t="str">
        <f t="shared" si="56"/>
        <v/>
      </c>
      <c r="C451" s="3" t="str">
        <f>IF(A451="","",(-PMT(Refinance_Calculator!$C$26/12,Refinance_Calculator!$C$29,Refinance_Calculator!$C$23,0,0)))</f>
        <v/>
      </c>
      <c r="D451" s="3" t="str">
        <f t="shared" si="57"/>
        <v/>
      </c>
      <c r="E451" s="3" t="str">
        <f>IF(A451="","",(-PPMT(Refinance_Calculator!$C$26/12,'Internal Working'!A451,Refinance_Calculator!$C$29,Refinance_Calculator!$C$23,0,0)))</f>
        <v/>
      </c>
      <c r="F451" s="3" t="str">
        <f t="shared" si="58"/>
        <v/>
      </c>
      <c r="G451" s="5" t="str">
        <f t="shared" si="59"/>
        <v/>
      </c>
      <c r="H451" s="36" t="str">
        <f t="shared" si="60"/>
        <v/>
      </c>
      <c r="I451" s="37" t="str">
        <f ca="1">+IF(A451 &lt;= $L$2, (Full_Report!C531-'Internal Working'!C451),"")</f>
        <v/>
      </c>
      <c r="J451" s="37" t="str">
        <f t="shared" ca="1" si="54"/>
        <v>0</v>
      </c>
      <c r="K451" s="35" t="str">
        <f t="shared" si="55"/>
        <v>0</v>
      </c>
      <c r="L451" s="35" t="str">
        <f t="shared" si="53"/>
        <v/>
      </c>
      <c r="M451" s="2"/>
    </row>
    <row r="452" spans="1:13" x14ac:dyDescent="0.25">
      <c r="A452" s="1" t="str">
        <f>IF(OR(A451="",F451=0,A451=Refinance_Calculator!$C$29),"",A451+1)</f>
        <v/>
      </c>
      <c r="B452" s="3" t="str">
        <f t="shared" si="56"/>
        <v/>
      </c>
      <c r="C452" s="3" t="str">
        <f>IF(A452="","",(-PMT(Refinance_Calculator!$C$26/12,Refinance_Calculator!$C$29,Refinance_Calculator!$C$23,0,0)))</f>
        <v/>
      </c>
      <c r="D452" s="3" t="str">
        <f t="shared" si="57"/>
        <v/>
      </c>
      <c r="E452" s="3" t="str">
        <f>IF(A452="","",(-PPMT(Refinance_Calculator!$C$26/12,'Internal Working'!A452,Refinance_Calculator!$C$29,Refinance_Calculator!$C$23,0,0)))</f>
        <v/>
      </c>
      <c r="F452" s="3" t="str">
        <f t="shared" si="58"/>
        <v/>
      </c>
      <c r="G452" s="5" t="str">
        <f t="shared" si="59"/>
        <v/>
      </c>
      <c r="H452" s="36" t="str">
        <f t="shared" si="60"/>
        <v/>
      </c>
      <c r="I452" s="37" t="str">
        <f ca="1">+IF(A452 &lt;= $L$2, (Full_Report!C532-'Internal Working'!C452),"")</f>
        <v/>
      </c>
      <c r="J452" s="37" t="str">
        <f t="shared" ca="1" si="54"/>
        <v>0</v>
      </c>
      <c r="K452" s="35" t="str">
        <f t="shared" si="55"/>
        <v>0</v>
      </c>
      <c r="L452" s="35" t="str">
        <f t="shared" si="53"/>
        <v/>
      </c>
      <c r="M452" s="2"/>
    </row>
    <row r="453" spans="1:13" x14ac:dyDescent="0.25">
      <c r="A453" s="1" t="str">
        <f>IF(OR(A452="",F452=0,A452=Refinance_Calculator!$C$29),"",A452+1)</f>
        <v/>
      </c>
      <c r="B453" s="3" t="str">
        <f t="shared" si="56"/>
        <v/>
      </c>
      <c r="C453" s="3" t="str">
        <f>IF(A453="","",(-PMT(Refinance_Calculator!$C$26/12,Refinance_Calculator!$C$29,Refinance_Calculator!$C$23,0,0)))</f>
        <v/>
      </c>
      <c r="D453" s="3" t="str">
        <f t="shared" si="57"/>
        <v/>
      </c>
      <c r="E453" s="3" t="str">
        <f>IF(A453="","",(-PPMT(Refinance_Calculator!$C$26/12,'Internal Working'!A453,Refinance_Calculator!$C$29,Refinance_Calculator!$C$23,0,0)))</f>
        <v/>
      </c>
      <c r="F453" s="3" t="str">
        <f t="shared" si="58"/>
        <v/>
      </c>
      <c r="G453" s="5" t="str">
        <f t="shared" si="59"/>
        <v/>
      </c>
      <c r="H453" s="36" t="str">
        <f t="shared" si="60"/>
        <v/>
      </c>
      <c r="I453" s="37" t="str">
        <f ca="1">+IF(A453 &lt;= $L$2, (Full_Report!C533-'Internal Working'!C453),"")</f>
        <v/>
      </c>
      <c r="J453" s="37" t="str">
        <f t="shared" ca="1" si="54"/>
        <v>0</v>
      </c>
      <c r="K453" s="35" t="str">
        <f t="shared" si="55"/>
        <v>0</v>
      </c>
      <c r="L453" s="35" t="str">
        <f t="shared" si="53"/>
        <v/>
      </c>
      <c r="M453" s="2"/>
    </row>
    <row r="454" spans="1:13" x14ac:dyDescent="0.25">
      <c r="A454" s="1" t="str">
        <f>IF(OR(A453="",F453=0,A453=Refinance_Calculator!$C$29),"",A453+1)</f>
        <v/>
      </c>
      <c r="B454" s="3" t="str">
        <f t="shared" si="56"/>
        <v/>
      </c>
      <c r="C454" s="3" t="str">
        <f>IF(A454="","",(-PMT(Refinance_Calculator!$C$26/12,Refinance_Calculator!$C$29,Refinance_Calculator!$C$23,0,0)))</f>
        <v/>
      </c>
      <c r="D454" s="3" t="str">
        <f t="shared" si="57"/>
        <v/>
      </c>
      <c r="E454" s="3" t="str">
        <f>IF(A454="","",(-PPMT(Refinance_Calculator!$C$26/12,'Internal Working'!A454,Refinance_Calculator!$C$29,Refinance_Calculator!$C$23,0,0)))</f>
        <v/>
      </c>
      <c r="F454" s="3" t="str">
        <f t="shared" si="58"/>
        <v/>
      </c>
      <c r="G454" s="5" t="str">
        <f t="shared" si="59"/>
        <v/>
      </c>
      <c r="H454" s="36" t="str">
        <f t="shared" si="60"/>
        <v/>
      </c>
      <c r="I454" s="37" t="str">
        <f ca="1">+IF(A454 &lt;= $L$2, (Full_Report!C534-'Internal Working'!C454),"")</f>
        <v/>
      </c>
      <c r="J454" s="37" t="str">
        <f t="shared" ca="1" si="54"/>
        <v>0</v>
      </c>
      <c r="K454" s="35" t="str">
        <f t="shared" si="55"/>
        <v>0</v>
      </c>
      <c r="L454" s="35" t="str">
        <f t="shared" si="53"/>
        <v/>
      </c>
      <c r="M454" s="2"/>
    </row>
    <row r="455" spans="1:13" x14ac:dyDescent="0.25">
      <c r="A455" s="1" t="str">
        <f>IF(OR(A454="",F454=0,A454=Refinance_Calculator!$C$29),"",A454+1)</f>
        <v/>
      </c>
      <c r="B455" s="3" t="str">
        <f t="shared" si="56"/>
        <v/>
      </c>
      <c r="C455" s="3" t="str">
        <f>IF(A455="","",(-PMT(Refinance_Calculator!$C$26/12,Refinance_Calculator!$C$29,Refinance_Calculator!$C$23,0,0)))</f>
        <v/>
      </c>
      <c r="D455" s="3" t="str">
        <f t="shared" si="57"/>
        <v/>
      </c>
      <c r="E455" s="3" t="str">
        <f>IF(A455="","",(-PPMT(Refinance_Calculator!$C$26/12,'Internal Working'!A455,Refinance_Calculator!$C$29,Refinance_Calculator!$C$23,0,0)))</f>
        <v/>
      </c>
      <c r="F455" s="3" t="str">
        <f t="shared" si="58"/>
        <v/>
      </c>
      <c r="G455" s="5" t="str">
        <f t="shared" si="59"/>
        <v/>
      </c>
      <c r="H455" s="36" t="str">
        <f t="shared" si="60"/>
        <v/>
      </c>
      <c r="I455" s="37" t="str">
        <f ca="1">+IF(A455 &lt;= $L$2, (Full_Report!C535-'Internal Working'!C455),"")</f>
        <v/>
      </c>
      <c r="J455" s="37" t="str">
        <f t="shared" ca="1" si="54"/>
        <v>0</v>
      </c>
      <c r="K455" s="35" t="str">
        <f t="shared" si="55"/>
        <v>0</v>
      </c>
      <c r="L455" s="35" t="str">
        <f t="shared" ref="L455:L518" si="61">+IF(A455 = "","",(J455+K455))</f>
        <v/>
      </c>
      <c r="M455" s="2"/>
    </row>
    <row r="456" spans="1:13" x14ac:dyDescent="0.25">
      <c r="A456" s="1" t="str">
        <f>IF(OR(A455="",F455=0,A455=Refinance_Calculator!$C$29),"",A455+1)</f>
        <v/>
      </c>
      <c r="B456" s="3" t="str">
        <f t="shared" si="56"/>
        <v/>
      </c>
      <c r="C456" s="3" t="str">
        <f>IF(A456="","",(-PMT(Refinance_Calculator!$C$26/12,Refinance_Calculator!$C$29,Refinance_Calculator!$C$23,0,0)))</f>
        <v/>
      </c>
      <c r="D456" s="3" t="str">
        <f t="shared" si="57"/>
        <v/>
      </c>
      <c r="E456" s="3" t="str">
        <f>IF(A456="","",(-PPMT(Refinance_Calculator!$C$26/12,'Internal Working'!A456,Refinance_Calculator!$C$29,Refinance_Calculator!$C$23,0,0)))</f>
        <v/>
      </c>
      <c r="F456" s="3" t="str">
        <f t="shared" si="58"/>
        <v/>
      </c>
      <c r="G456" s="5" t="str">
        <f t="shared" si="59"/>
        <v/>
      </c>
      <c r="H456" s="36" t="str">
        <f t="shared" si="60"/>
        <v/>
      </c>
      <c r="I456" s="37" t="str">
        <f ca="1">+IF(A456 &lt;= $L$2, (Full_Report!C536-'Internal Working'!C456),"")</f>
        <v/>
      </c>
      <c r="J456" s="37" t="str">
        <f t="shared" ref="J456:J519" ca="1" si="62">IF(I456="","0",(I456+J455))</f>
        <v>0</v>
      </c>
      <c r="K456" s="35" t="str">
        <f t="shared" ref="K456:K519" si="63">+IF(A456="","0",IF(A456&gt;$L$2,(K455-C456),"0"))</f>
        <v>0</v>
      </c>
      <c r="L456" s="35" t="str">
        <f t="shared" si="61"/>
        <v/>
      </c>
      <c r="M456" s="2"/>
    </row>
    <row r="457" spans="1:13" x14ac:dyDescent="0.25">
      <c r="A457" s="1" t="str">
        <f>IF(OR(A456="",F456=0,A456=Refinance_Calculator!$C$29),"",A456+1)</f>
        <v/>
      </c>
      <c r="B457" s="3" t="str">
        <f t="shared" si="56"/>
        <v/>
      </c>
      <c r="C457" s="3" t="str">
        <f>IF(A457="","",(-PMT(Refinance_Calculator!$C$26/12,Refinance_Calculator!$C$29,Refinance_Calculator!$C$23,0,0)))</f>
        <v/>
      </c>
      <c r="D457" s="3" t="str">
        <f t="shared" si="57"/>
        <v/>
      </c>
      <c r="E457" s="3" t="str">
        <f>IF(A457="","",(-PPMT(Refinance_Calculator!$C$26/12,'Internal Working'!A457,Refinance_Calculator!$C$29,Refinance_Calculator!$C$23,0,0)))</f>
        <v/>
      </c>
      <c r="F457" s="3" t="str">
        <f t="shared" si="58"/>
        <v/>
      </c>
      <c r="G457" s="5" t="str">
        <f t="shared" si="59"/>
        <v/>
      </c>
      <c r="H457" s="36" t="str">
        <f t="shared" si="60"/>
        <v/>
      </c>
      <c r="I457" s="37" t="str">
        <f ca="1">+IF(A457 &lt;= $L$2, (Full_Report!C537-'Internal Working'!C457),"")</f>
        <v/>
      </c>
      <c r="J457" s="37" t="str">
        <f t="shared" ca="1" si="62"/>
        <v>0</v>
      </c>
      <c r="K457" s="35" t="str">
        <f t="shared" si="63"/>
        <v>0</v>
      </c>
      <c r="L457" s="35" t="str">
        <f t="shared" si="61"/>
        <v/>
      </c>
      <c r="M457" s="2"/>
    </row>
    <row r="458" spans="1:13" x14ac:dyDescent="0.25">
      <c r="A458" s="1" t="str">
        <f>IF(OR(A457="",F457=0,A457=Refinance_Calculator!$C$29),"",A457+1)</f>
        <v/>
      </c>
      <c r="B458" s="3" t="str">
        <f t="shared" si="56"/>
        <v/>
      </c>
      <c r="C458" s="3" t="str">
        <f>IF(A458="","",(-PMT(Refinance_Calculator!$C$26/12,Refinance_Calculator!$C$29,Refinance_Calculator!$C$23,0,0)))</f>
        <v/>
      </c>
      <c r="D458" s="3" t="str">
        <f t="shared" si="57"/>
        <v/>
      </c>
      <c r="E458" s="3" t="str">
        <f>IF(A458="","",(-PPMT(Refinance_Calculator!$C$26/12,'Internal Working'!A458,Refinance_Calculator!$C$29,Refinance_Calculator!$C$23,0,0)))</f>
        <v/>
      </c>
      <c r="F458" s="3" t="str">
        <f t="shared" si="58"/>
        <v/>
      </c>
      <c r="G458" s="5" t="str">
        <f t="shared" si="59"/>
        <v/>
      </c>
      <c r="H458" s="36" t="str">
        <f t="shared" si="60"/>
        <v/>
      </c>
      <c r="I458" s="37" t="str">
        <f ca="1">+IF(A458 &lt;= $L$2, (Full_Report!C538-'Internal Working'!C458),"")</f>
        <v/>
      </c>
      <c r="J458" s="37" t="str">
        <f t="shared" ca="1" si="62"/>
        <v>0</v>
      </c>
      <c r="K458" s="35" t="str">
        <f t="shared" si="63"/>
        <v>0</v>
      </c>
      <c r="L458" s="35" t="str">
        <f t="shared" si="61"/>
        <v/>
      </c>
      <c r="M458" s="2"/>
    </row>
    <row r="459" spans="1:13" x14ac:dyDescent="0.25">
      <c r="A459" s="1" t="str">
        <f>IF(OR(A458="",F458=0,A458=Refinance_Calculator!$C$29),"",A458+1)</f>
        <v/>
      </c>
      <c r="B459" s="3" t="str">
        <f t="shared" si="56"/>
        <v/>
      </c>
      <c r="C459" s="3" t="str">
        <f>IF(A459="","",(-PMT(Refinance_Calculator!$C$26/12,Refinance_Calculator!$C$29,Refinance_Calculator!$C$23,0,0)))</f>
        <v/>
      </c>
      <c r="D459" s="3" t="str">
        <f t="shared" si="57"/>
        <v/>
      </c>
      <c r="E459" s="3" t="str">
        <f>IF(A459="","",(-PPMT(Refinance_Calculator!$C$26/12,'Internal Working'!A459,Refinance_Calculator!$C$29,Refinance_Calculator!$C$23,0,0)))</f>
        <v/>
      </c>
      <c r="F459" s="3" t="str">
        <f t="shared" si="58"/>
        <v/>
      </c>
      <c r="G459" s="5" t="str">
        <f t="shared" si="59"/>
        <v/>
      </c>
      <c r="H459" s="36" t="str">
        <f t="shared" si="60"/>
        <v/>
      </c>
      <c r="I459" s="37" t="str">
        <f ca="1">+IF(A459 &lt;= $L$2, (Full_Report!C539-'Internal Working'!C459),"")</f>
        <v/>
      </c>
      <c r="J459" s="37" t="str">
        <f t="shared" ca="1" si="62"/>
        <v>0</v>
      </c>
      <c r="K459" s="35" t="str">
        <f t="shared" si="63"/>
        <v>0</v>
      </c>
      <c r="L459" s="35" t="str">
        <f t="shared" si="61"/>
        <v/>
      </c>
      <c r="M459" s="2"/>
    </row>
    <row r="460" spans="1:13" x14ac:dyDescent="0.25">
      <c r="A460" s="1" t="str">
        <f>IF(OR(A459="",F459=0,A459=Refinance_Calculator!$C$29),"",A459+1)</f>
        <v/>
      </c>
      <c r="B460" s="3" t="str">
        <f t="shared" si="56"/>
        <v/>
      </c>
      <c r="C460" s="3" t="str">
        <f>IF(A460="","",(-PMT(Refinance_Calculator!$C$26/12,Refinance_Calculator!$C$29,Refinance_Calculator!$C$23,0,0)))</f>
        <v/>
      </c>
      <c r="D460" s="3" t="str">
        <f t="shared" si="57"/>
        <v/>
      </c>
      <c r="E460" s="3" t="str">
        <f>IF(A460="","",(-PPMT(Refinance_Calculator!$C$26/12,'Internal Working'!A460,Refinance_Calculator!$C$29,Refinance_Calculator!$C$23,0,0)))</f>
        <v/>
      </c>
      <c r="F460" s="3" t="str">
        <f t="shared" si="58"/>
        <v/>
      </c>
      <c r="G460" s="5" t="str">
        <f t="shared" si="59"/>
        <v/>
      </c>
      <c r="H460" s="36" t="str">
        <f t="shared" si="60"/>
        <v/>
      </c>
      <c r="I460" s="37" t="str">
        <f ca="1">+IF(A460 &lt;= $L$2, (Full_Report!C540-'Internal Working'!C460),"")</f>
        <v/>
      </c>
      <c r="J460" s="37" t="str">
        <f t="shared" ca="1" si="62"/>
        <v>0</v>
      </c>
      <c r="K460" s="35" t="str">
        <f t="shared" si="63"/>
        <v>0</v>
      </c>
      <c r="L460" s="35" t="str">
        <f t="shared" si="61"/>
        <v/>
      </c>
      <c r="M460" s="2"/>
    </row>
    <row r="461" spans="1:13" x14ac:dyDescent="0.25">
      <c r="A461" s="1" t="str">
        <f>IF(OR(A460="",F460=0,A460=Refinance_Calculator!$C$29),"",A460+1)</f>
        <v/>
      </c>
      <c r="B461" s="3" t="str">
        <f t="shared" si="56"/>
        <v/>
      </c>
      <c r="C461" s="3" t="str">
        <f>IF(A461="","",(-PMT(Refinance_Calculator!$C$26/12,Refinance_Calculator!$C$29,Refinance_Calculator!$C$23,0,0)))</f>
        <v/>
      </c>
      <c r="D461" s="3" t="str">
        <f t="shared" si="57"/>
        <v/>
      </c>
      <c r="E461" s="3" t="str">
        <f>IF(A461="","",(-PPMT(Refinance_Calculator!$C$26/12,'Internal Working'!A461,Refinance_Calculator!$C$29,Refinance_Calculator!$C$23,0,0)))</f>
        <v/>
      </c>
      <c r="F461" s="3" t="str">
        <f t="shared" si="58"/>
        <v/>
      </c>
      <c r="G461" s="5" t="str">
        <f t="shared" si="59"/>
        <v/>
      </c>
      <c r="H461" s="36" t="str">
        <f t="shared" si="60"/>
        <v/>
      </c>
      <c r="I461" s="37" t="str">
        <f ca="1">+IF(A461 &lt;= $L$2, (Full_Report!C541-'Internal Working'!C461),"")</f>
        <v/>
      </c>
      <c r="J461" s="37" t="str">
        <f t="shared" ca="1" si="62"/>
        <v>0</v>
      </c>
      <c r="K461" s="35" t="str">
        <f t="shared" si="63"/>
        <v>0</v>
      </c>
      <c r="L461" s="35" t="str">
        <f t="shared" si="61"/>
        <v/>
      </c>
      <c r="M461" s="2"/>
    </row>
    <row r="462" spans="1:13" x14ac:dyDescent="0.25">
      <c r="A462" s="1" t="str">
        <f>IF(OR(A461="",F461=0,A461=Refinance_Calculator!$C$29),"",A461+1)</f>
        <v/>
      </c>
      <c r="B462" s="3" t="str">
        <f t="shared" si="56"/>
        <v/>
      </c>
      <c r="C462" s="3" t="str">
        <f>IF(A462="","",(-PMT(Refinance_Calculator!$C$26/12,Refinance_Calculator!$C$29,Refinance_Calculator!$C$23,0,0)))</f>
        <v/>
      </c>
      <c r="D462" s="3" t="str">
        <f t="shared" si="57"/>
        <v/>
      </c>
      <c r="E462" s="3" t="str">
        <f>IF(A462="","",(-PPMT(Refinance_Calculator!$C$26/12,'Internal Working'!A462,Refinance_Calculator!$C$29,Refinance_Calculator!$C$23,0,0)))</f>
        <v/>
      </c>
      <c r="F462" s="3" t="str">
        <f t="shared" si="58"/>
        <v/>
      </c>
      <c r="G462" s="5" t="str">
        <f t="shared" si="59"/>
        <v/>
      </c>
      <c r="H462" s="36" t="str">
        <f t="shared" si="60"/>
        <v/>
      </c>
      <c r="I462" s="37" t="str">
        <f ca="1">+IF(A462 &lt;= $L$2, (Full_Report!C542-'Internal Working'!C462),"")</f>
        <v/>
      </c>
      <c r="J462" s="37" t="str">
        <f t="shared" ca="1" si="62"/>
        <v>0</v>
      </c>
      <c r="K462" s="35" t="str">
        <f t="shared" si="63"/>
        <v>0</v>
      </c>
      <c r="L462" s="35" t="str">
        <f t="shared" si="61"/>
        <v/>
      </c>
      <c r="M462" s="2"/>
    </row>
    <row r="463" spans="1:13" x14ac:dyDescent="0.25">
      <c r="A463" s="1" t="str">
        <f>IF(OR(A462="",F462=0,A462=Refinance_Calculator!$C$29),"",A462+1)</f>
        <v/>
      </c>
      <c r="B463" s="3" t="str">
        <f t="shared" si="56"/>
        <v/>
      </c>
      <c r="C463" s="3" t="str">
        <f>IF(A463="","",(-PMT(Refinance_Calculator!$C$26/12,Refinance_Calculator!$C$29,Refinance_Calculator!$C$23,0,0)))</f>
        <v/>
      </c>
      <c r="D463" s="3" t="str">
        <f t="shared" si="57"/>
        <v/>
      </c>
      <c r="E463" s="3" t="str">
        <f>IF(A463="","",(-PPMT(Refinance_Calculator!$C$26/12,'Internal Working'!A463,Refinance_Calculator!$C$29,Refinance_Calculator!$C$23,0,0)))</f>
        <v/>
      </c>
      <c r="F463" s="3" t="str">
        <f t="shared" si="58"/>
        <v/>
      </c>
      <c r="G463" s="5" t="str">
        <f t="shared" si="59"/>
        <v/>
      </c>
      <c r="H463" s="36" t="str">
        <f t="shared" si="60"/>
        <v/>
      </c>
      <c r="I463" s="37" t="str">
        <f ca="1">+IF(A463 &lt;= $L$2, (Full_Report!C543-'Internal Working'!C463),"")</f>
        <v/>
      </c>
      <c r="J463" s="37" t="str">
        <f t="shared" ca="1" si="62"/>
        <v>0</v>
      </c>
      <c r="K463" s="35" t="str">
        <f t="shared" si="63"/>
        <v>0</v>
      </c>
      <c r="L463" s="35" t="str">
        <f t="shared" si="61"/>
        <v/>
      </c>
      <c r="M463" s="2"/>
    </row>
    <row r="464" spans="1:13" x14ac:dyDescent="0.25">
      <c r="A464" s="1" t="str">
        <f>IF(OR(A463="",F463=0,A463=Refinance_Calculator!$C$29),"",A463+1)</f>
        <v/>
      </c>
      <c r="B464" s="3" t="str">
        <f t="shared" si="56"/>
        <v/>
      </c>
      <c r="C464" s="3" t="str">
        <f>IF(A464="","",(-PMT(Refinance_Calculator!$C$26/12,Refinance_Calculator!$C$29,Refinance_Calculator!$C$23,0,0)))</f>
        <v/>
      </c>
      <c r="D464" s="3" t="str">
        <f t="shared" si="57"/>
        <v/>
      </c>
      <c r="E464" s="3" t="str">
        <f>IF(A464="","",(-PPMT(Refinance_Calculator!$C$26/12,'Internal Working'!A464,Refinance_Calculator!$C$29,Refinance_Calculator!$C$23,0,0)))</f>
        <v/>
      </c>
      <c r="F464" s="3" t="str">
        <f t="shared" si="58"/>
        <v/>
      </c>
      <c r="G464" s="5" t="str">
        <f t="shared" si="59"/>
        <v/>
      </c>
      <c r="H464" s="36" t="str">
        <f t="shared" si="60"/>
        <v/>
      </c>
      <c r="I464" s="37" t="str">
        <f ca="1">+IF(A464 &lt;= $L$2, (Full_Report!C544-'Internal Working'!C464),"")</f>
        <v/>
      </c>
      <c r="J464" s="37" t="str">
        <f t="shared" ca="1" si="62"/>
        <v>0</v>
      </c>
      <c r="K464" s="35" t="str">
        <f t="shared" si="63"/>
        <v>0</v>
      </c>
      <c r="L464" s="35" t="str">
        <f t="shared" si="61"/>
        <v/>
      </c>
      <c r="M464" s="2"/>
    </row>
    <row r="465" spans="1:13" x14ac:dyDescent="0.25">
      <c r="A465" s="1" t="str">
        <f>IF(OR(A464="",F464=0,A464=Refinance_Calculator!$C$29),"",A464+1)</f>
        <v/>
      </c>
      <c r="B465" s="3" t="str">
        <f t="shared" si="56"/>
        <v/>
      </c>
      <c r="C465" s="3" t="str">
        <f>IF(A465="","",(-PMT(Refinance_Calculator!$C$26/12,Refinance_Calculator!$C$29,Refinance_Calculator!$C$23,0,0)))</f>
        <v/>
      </c>
      <c r="D465" s="3" t="str">
        <f t="shared" si="57"/>
        <v/>
      </c>
      <c r="E465" s="3" t="str">
        <f>IF(A465="","",(-PPMT(Refinance_Calculator!$C$26/12,'Internal Working'!A465,Refinance_Calculator!$C$29,Refinance_Calculator!$C$23,0,0)))</f>
        <v/>
      </c>
      <c r="F465" s="3" t="str">
        <f t="shared" si="58"/>
        <v/>
      </c>
      <c r="G465" s="5" t="str">
        <f t="shared" si="59"/>
        <v/>
      </c>
      <c r="H465" s="36" t="str">
        <f t="shared" si="60"/>
        <v/>
      </c>
      <c r="I465" s="37" t="str">
        <f ca="1">+IF(A465 &lt;= $L$2, (Full_Report!C545-'Internal Working'!C465),"")</f>
        <v/>
      </c>
      <c r="J465" s="37" t="str">
        <f t="shared" ca="1" si="62"/>
        <v>0</v>
      </c>
      <c r="K465" s="35" t="str">
        <f t="shared" si="63"/>
        <v>0</v>
      </c>
      <c r="L465" s="35" t="str">
        <f t="shared" si="61"/>
        <v/>
      </c>
      <c r="M465" s="2"/>
    </row>
    <row r="466" spans="1:13" x14ac:dyDescent="0.25">
      <c r="A466" s="1" t="str">
        <f>IF(OR(A465="",F465=0,A465=Refinance_Calculator!$C$29),"",A465+1)</f>
        <v/>
      </c>
      <c r="B466" s="3" t="str">
        <f t="shared" ref="B466:B529" si="64">IF(A466="","",(F465))</f>
        <v/>
      </c>
      <c r="C466" s="3" t="str">
        <f>IF(A466="","",(-PMT(Refinance_Calculator!$C$26/12,Refinance_Calculator!$C$29,Refinance_Calculator!$C$23,0,0)))</f>
        <v/>
      </c>
      <c r="D466" s="3" t="str">
        <f t="shared" ref="D466:D529" si="65">+IF(A466="","",(C466-E466))</f>
        <v/>
      </c>
      <c r="E466" s="3" t="str">
        <f>IF(A466="","",(-PPMT(Refinance_Calculator!$C$26/12,'Internal Working'!A466,Refinance_Calculator!$C$29,Refinance_Calculator!$C$23,0,0)))</f>
        <v/>
      </c>
      <c r="F466" s="3" t="str">
        <f t="shared" ref="F466:F529" si="66">+IF(A466="","",(B466-E466))</f>
        <v/>
      </c>
      <c r="G466" s="5" t="str">
        <f t="shared" ref="G466:G529" si="67">+E466</f>
        <v/>
      </c>
      <c r="H466" s="36" t="str">
        <f t="shared" ref="H466:H529" si="68">+D466</f>
        <v/>
      </c>
      <c r="I466" s="37" t="str">
        <f ca="1">+IF(A466 &lt;= $L$2, (Full_Report!C546-'Internal Working'!C466),"")</f>
        <v/>
      </c>
      <c r="J466" s="37" t="str">
        <f t="shared" ca="1" si="62"/>
        <v>0</v>
      </c>
      <c r="K466" s="35" t="str">
        <f t="shared" si="63"/>
        <v>0</v>
      </c>
      <c r="L466" s="35" t="str">
        <f t="shared" si="61"/>
        <v/>
      </c>
      <c r="M466" s="2"/>
    </row>
    <row r="467" spans="1:13" x14ac:dyDescent="0.25">
      <c r="A467" s="1" t="str">
        <f>IF(OR(A466="",F466=0,A466=Refinance_Calculator!$C$29),"",A466+1)</f>
        <v/>
      </c>
      <c r="B467" s="3" t="str">
        <f t="shared" si="64"/>
        <v/>
      </c>
      <c r="C467" s="3" t="str">
        <f>IF(A467="","",(-PMT(Refinance_Calculator!$C$26/12,Refinance_Calculator!$C$29,Refinance_Calculator!$C$23,0,0)))</f>
        <v/>
      </c>
      <c r="D467" s="3" t="str">
        <f t="shared" si="65"/>
        <v/>
      </c>
      <c r="E467" s="3" t="str">
        <f>IF(A467="","",(-PPMT(Refinance_Calculator!$C$26/12,'Internal Working'!A467,Refinance_Calculator!$C$29,Refinance_Calculator!$C$23,0,0)))</f>
        <v/>
      </c>
      <c r="F467" s="3" t="str">
        <f t="shared" si="66"/>
        <v/>
      </c>
      <c r="G467" s="5" t="str">
        <f t="shared" si="67"/>
        <v/>
      </c>
      <c r="H467" s="36" t="str">
        <f t="shared" si="68"/>
        <v/>
      </c>
      <c r="I467" s="37" t="str">
        <f ca="1">+IF(A467 &lt;= $L$2, (Full_Report!C547-'Internal Working'!C467),"")</f>
        <v/>
      </c>
      <c r="J467" s="37" t="str">
        <f t="shared" ca="1" si="62"/>
        <v>0</v>
      </c>
      <c r="K467" s="35" t="str">
        <f t="shared" si="63"/>
        <v>0</v>
      </c>
      <c r="L467" s="35" t="str">
        <f t="shared" si="61"/>
        <v/>
      </c>
      <c r="M467" s="2"/>
    </row>
    <row r="468" spans="1:13" x14ac:dyDescent="0.25">
      <c r="A468" s="1" t="str">
        <f>IF(OR(A467="",F467=0,A467=Refinance_Calculator!$C$29),"",A467+1)</f>
        <v/>
      </c>
      <c r="B468" s="3" t="str">
        <f t="shared" si="64"/>
        <v/>
      </c>
      <c r="C468" s="3" t="str">
        <f>IF(A468="","",(-PMT(Refinance_Calculator!$C$26/12,Refinance_Calculator!$C$29,Refinance_Calculator!$C$23,0,0)))</f>
        <v/>
      </c>
      <c r="D468" s="3" t="str">
        <f t="shared" si="65"/>
        <v/>
      </c>
      <c r="E468" s="3" t="str">
        <f>IF(A468="","",(-PPMT(Refinance_Calculator!$C$26/12,'Internal Working'!A468,Refinance_Calculator!$C$29,Refinance_Calculator!$C$23,0,0)))</f>
        <v/>
      </c>
      <c r="F468" s="3" t="str">
        <f t="shared" si="66"/>
        <v/>
      </c>
      <c r="G468" s="5" t="str">
        <f t="shared" si="67"/>
        <v/>
      </c>
      <c r="H468" s="36" t="str">
        <f t="shared" si="68"/>
        <v/>
      </c>
      <c r="I468" s="37" t="str">
        <f ca="1">+IF(A468 &lt;= $L$2, (Full_Report!C548-'Internal Working'!C468),"")</f>
        <v/>
      </c>
      <c r="J468" s="37" t="str">
        <f t="shared" ca="1" si="62"/>
        <v>0</v>
      </c>
      <c r="K468" s="35" t="str">
        <f t="shared" si="63"/>
        <v>0</v>
      </c>
      <c r="L468" s="35" t="str">
        <f t="shared" si="61"/>
        <v/>
      </c>
      <c r="M468" s="2"/>
    </row>
    <row r="469" spans="1:13" x14ac:dyDescent="0.25">
      <c r="A469" s="1" t="str">
        <f>IF(OR(A468="",F468=0,A468=Refinance_Calculator!$C$29),"",A468+1)</f>
        <v/>
      </c>
      <c r="B469" s="3" t="str">
        <f t="shared" si="64"/>
        <v/>
      </c>
      <c r="C469" s="3" t="str">
        <f>IF(A469="","",(-PMT(Refinance_Calculator!$C$26/12,Refinance_Calculator!$C$29,Refinance_Calculator!$C$23,0,0)))</f>
        <v/>
      </c>
      <c r="D469" s="3" t="str">
        <f t="shared" si="65"/>
        <v/>
      </c>
      <c r="E469" s="3" t="str">
        <f>IF(A469="","",(-PPMT(Refinance_Calculator!$C$26/12,'Internal Working'!A469,Refinance_Calculator!$C$29,Refinance_Calculator!$C$23,0,0)))</f>
        <v/>
      </c>
      <c r="F469" s="3" t="str">
        <f t="shared" si="66"/>
        <v/>
      </c>
      <c r="G469" s="5" t="str">
        <f t="shared" si="67"/>
        <v/>
      </c>
      <c r="H469" s="36" t="str">
        <f t="shared" si="68"/>
        <v/>
      </c>
      <c r="I469" s="37" t="str">
        <f ca="1">+IF(A469 &lt;= $L$2, (Full_Report!C549-'Internal Working'!C469),"")</f>
        <v/>
      </c>
      <c r="J469" s="37" t="str">
        <f t="shared" ca="1" si="62"/>
        <v>0</v>
      </c>
      <c r="K469" s="35" t="str">
        <f t="shared" si="63"/>
        <v>0</v>
      </c>
      <c r="L469" s="35" t="str">
        <f t="shared" si="61"/>
        <v/>
      </c>
      <c r="M469" s="2"/>
    </row>
    <row r="470" spans="1:13" x14ac:dyDescent="0.25">
      <c r="A470" s="1" t="str">
        <f>IF(OR(A469="",F469=0,A469=Refinance_Calculator!$C$29),"",A469+1)</f>
        <v/>
      </c>
      <c r="B470" s="3" t="str">
        <f t="shared" si="64"/>
        <v/>
      </c>
      <c r="C470" s="3" t="str">
        <f>IF(A470="","",(-PMT(Refinance_Calculator!$C$26/12,Refinance_Calculator!$C$29,Refinance_Calculator!$C$23,0,0)))</f>
        <v/>
      </c>
      <c r="D470" s="3" t="str">
        <f t="shared" si="65"/>
        <v/>
      </c>
      <c r="E470" s="3" t="str">
        <f>IF(A470="","",(-PPMT(Refinance_Calculator!$C$26/12,'Internal Working'!A470,Refinance_Calculator!$C$29,Refinance_Calculator!$C$23,0,0)))</f>
        <v/>
      </c>
      <c r="F470" s="3" t="str">
        <f t="shared" si="66"/>
        <v/>
      </c>
      <c r="G470" s="5" t="str">
        <f t="shared" si="67"/>
        <v/>
      </c>
      <c r="H470" s="36" t="str">
        <f t="shared" si="68"/>
        <v/>
      </c>
      <c r="I470" s="37" t="str">
        <f ca="1">+IF(A470 &lt;= $L$2, (Full_Report!C550-'Internal Working'!C470),"")</f>
        <v/>
      </c>
      <c r="J470" s="37" t="str">
        <f t="shared" ca="1" si="62"/>
        <v>0</v>
      </c>
      <c r="K470" s="35" t="str">
        <f t="shared" si="63"/>
        <v>0</v>
      </c>
      <c r="L470" s="35" t="str">
        <f t="shared" si="61"/>
        <v/>
      </c>
      <c r="M470" s="2"/>
    </row>
    <row r="471" spans="1:13" x14ac:dyDescent="0.25">
      <c r="A471" s="1" t="str">
        <f>IF(OR(A470="",F470=0,A470=Refinance_Calculator!$C$29),"",A470+1)</f>
        <v/>
      </c>
      <c r="B471" s="3" t="str">
        <f t="shared" si="64"/>
        <v/>
      </c>
      <c r="C471" s="3" t="str">
        <f>IF(A471="","",(-PMT(Refinance_Calculator!$C$26/12,Refinance_Calculator!$C$29,Refinance_Calculator!$C$23,0,0)))</f>
        <v/>
      </c>
      <c r="D471" s="3" t="str">
        <f t="shared" si="65"/>
        <v/>
      </c>
      <c r="E471" s="3" t="str">
        <f>IF(A471="","",(-PPMT(Refinance_Calculator!$C$26/12,'Internal Working'!A471,Refinance_Calculator!$C$29,Refinance_Calculator!$C$23,0,0)))</f>
        <v/>
      </c>
      <c r="F471" s="3" t="str">
        <f t="shared" si="66"/>
        <v/>
      </c>
      <c r="G471" s="5" t="str">
        <f t="shared" si="67"/>
        <v/>
      </c>
      <c r="H471" s="36" t="str">
        <f t="shared" si="68"/>
        <v/>
      </c>
      <c r="I471" s="37" t="str">
        <f ca="1">+IF(A471 &lt;= $L$2, (Full_Report!C551-'Internal Working'!C471),"")</f>
        <v/>
      </c>
      <c r="J471" s="37" t="str">
        <f t="shared" ca="1" si="62"/>
        <v>0</v>
      </c>
      <c r="K471" s="35" t="str">
        <f t="shared" si="63"/>
        <v>0</v>
      </c>
      <c r="L471" s="35" t="str">
        <f t="shared" si="61"/>
        <v/>
      </c>
      <c r="M471" s="2"/>
    </row>
    <row r="472" spans="1:13" x14ac:dyDescent="0.25">
      <c r="A472" s="1" t="str">
        <f>IF(OR(A471="",F471=0,A471=Refinance_Calculator!$C$29),"",A471+1)</f>
        <v/>
      </c>
      <c r="B472" s="3" t="str">
        <f t="shared" si="64"/>
        <v/>
      </c>
      <c r="C472" s="3" t="str">
        <f>IF(A472="","",(-PMT(Refinance_Calculator!$C$26/12,Refinance_Calculator!$C$29,Refinance_Calculator!$C$23,0,0)))</f>
        <v/>
      </c>
      <c r="D472" s="3" t="str">
        <f t="shared" si="65"/>
        <v/>
      </c>
      <c r="E472" s="3" t="str">
        <f>IF(A472="","",(-PPMT(Refinance_Calculator!$C$26/12,'Internal Working'!A472,Refinance_Calculator!$C$29,Refinance_Calculator!$C$23,0,0)))</f>
        <v/>
      </c>
      <c r="F472" s="3" t="str">
        <f t="shared" si="66"/>
        <v/>
      </c>
      <c r="G472" s="5" t="str">
        <f t="shared" si="67"/>
        <v/>
      </c>
      <c r="H472" s="36" t="str">
        <f t="shared" si="68"/>
        <v/>
      </c>
      <c r="I472" s="37" t="str">
        <f ca="1">+IF(A472 &lt;= $L$2, (Full_Report!C552-'Internal Working'!C472),"")</f>
        <v/>
      </c>
      <c r="J472" s="37" t="str">
        <f t="shared" ca="1" si="62"/>
        <v>0</v>
      </c>
      <c r="K472" s="35" t="str">
        <f t="shared" si="63"/>
        <v>0</v>
      </c>
      <c r="L472" s="35" t="str">
        <f t="shared" si="61"/>
        <v/>
      </c>
      <c r="M472" s="2"/>
    </row>
    <row r="473" spans="1:13" x14ac:dyDescent="0.25">
      <c r="A473" s="1" t="str">
        <f>IF(OR(A472="",F472=0,A472=Refinance_Calculator!$C$29),"",A472+1)</f>
        <v/>
      </c>
      <c r="B473" s="3" t="str">
        <f t="shared" si="64"/>
        <v/>
      </c>
      <c r="C473" s="3" t="str">
        <f>IF(A473="","",(-PMT(Refinance_Calculator!$C$26/12,Refinance_Calculator!$C$29,Refinance_Calculator!$C$23,0,0)))</f>
        <v/>
      </c>
      <c r="D473" s="3" t="str">
        <f t="shared" si="65"/>
        <v/>
      </c>
      <c r="E473" s="3" t="str">
        <f>IF(A473="","",(-PPMT(Refinance_Calculator!$C$26/12,'Internal Working'!A473,Refinance_Calculator!$C$29,Refinance_Calculator!$C$23,0,0)))</f>
        <v/>
      </c>
      <c r="F473" s="3" t="str">
        <f t="shared" si="66"/>
        <v/>
      </c>
      <c r="G473" s="5" t="str">
        <f t="shared" si="67"/>
        <v/>
      </c>
      <c r="H473" s="36" t="str">
        <f t="shared" si="68"/>
        <v/>
      </c>
      <c r="I473" s="37" t="str">
        <f ca="1">+IF(A473 &lt;= $L$2, (Full_Report!C553-'Internal Working'!C473),"")</f>
        <v/>
      </c>
      <c r="J473" s="37" t="str">
        <f t="shared" ca="1" si="62"/>
        <v>0</v>
      </c>
      <c r="K473" s="35" t="str">
        <f t="shared" si="63"/>
        <v>0</v>
      </c>
      <c r="L473" s="35" t="str">
        <f t="shared" si="61"/>
        <v/>
      </c>
      <c r="M473" s="2"/>
    </row>
    <row r="474" spans="1:13" x14ac:dyDescent="0.25">
      <c r="A474" s="1" t="str">
        <f>IF(OR(A473="",F473=0,A473=Refinance_Calculator!$C$29),"",A473+1)</f>
        <v/>
      </c>
      <c r="B474" s="3" t="str">
        <f t="shared" si="64"/>
        <v/>
      </c>
      <c r="C474" s="3" t="str">
        <f>IF(A474="","",(-PMT(Refinance_Calculator!$C$26/12,Refinance_Calculator!$C$29,Refinance_Calculator!$C$23,0,0)))</f>
        <v/>
      </c>
      <c r="D474" s="3" t="str">
        <f t="shared" si="65"/>
        <v/>
      </c>
      <c r="E474" s="3" t="str">
        <f>IF(A474="","",(-PPMT(Refinance_Calculator!$C$26/12,'Internal Working'!A474,Refinance_Calculator!$C$29,Refinance_Calculator!$C$23,0,0)))</f>
        <v/>
      </c>
      <c r="F474" s="3" t="str">
        <f t="shared" si="66"/>
        <v/>
      </c>
      <c r="G474" s="5" t="str">
        <f t="shared" si="67"/>
        <v/>
      </c>
      <c r="H474" s="36" t="str">
        <f t="shared" si="68"/>
        <v/>
      </c>
      <c r="I474" s="37" t="str">
        <f ca="1">+IF(A474 &lt;= $L$2, (Full_Report!C554-'Internal Working'!C474),"")</f>
        <v/>
      </c>
      <c r="J474" s="37" t="str">
        <f t="shared" ca="1" si="62"/>
        <v>0</v>
      </c>
      <c r="K474" s="35" t="str">
        <f t="shared" si="63"/>
        <v>0</v>
      </c>
      <c r="L474" s="35" t="str">
        <f t="shared" si="61"/>
        <v/>
      </c>
      <c r="M474" s="2"/>
    </row>
    <row r="475" spans="1:13" x14ac:dyDescent="0.25">
      <c r="A475" s="1" t="str">
        <f>IF(OR(A474="",F474=0,A474=Refinance_Calculator!$C$29),"",A474+1)</f>
        <v/>
      </c>
      <c r="B475" s="3" t="str">
        <f t="shared" si="64"/>
        <v/>
      </c>
      <c r="C475" s="3" t="str">
        <f>IF(A475="","",(-PMT(Refinance_Calculator!$C$26/12,Refinance_Calculator!$C$29,Refinance_Calculator!$C$23,0,0)))</f>
        <v/>
      </c>
      <c r="D475" s="3" t="str">
        <f t="shared" si="65"/>
        <v/>
      </c>
      <c r="E475" s="3" t="str">
        <f>IF(A475="","",(-PPMT(Refinance_Calculator!$C$26/12,'Internal Working'!A475,Refinance_Calculator!$C$29,Refinance_Calculator!$C$23,0,0)))</f>
        <v/>
      </c>
      <c r="F475" s="3" t="str">
        <f t="shared" si="66"/>
        <v/>
      </c>
      <c r="G475" s="5" t="str">
        <f t="shared" si="67"/>
        <v/>
      </c>
      <c r="H475" s="36" t="str">
        <f t="shared" si="68"/>
        <v/>
      </c>
      <c r="I475" s="37" t="str">
        <f ca="1">+IF(A475 &lt;= $L$2, (Full_Report!C555-'Internal Working'!C475),"")</f>
        <v/>
      </c>
      <c r="J475" s="37" t="str">
        <f t="shared" ca="1" si="62"/>
        <v>0</v>
      </c>
      <c r="K475" s="35" t="str">
        <f t="shared" si="63"/>
        <v>0</v>
      </c>
      <c r="L475" s="35" t="str">
        <f t="shared" si="61"/>
        <v/>
      </c>
      <c r="M475" s="2"/>
    </row>
    <row r="476" spans="1:13" x14ac:dyDescent="0.25">
      <c r="A476" s="1" t="str">
        <f>IF(OR(A475="",F475=0,A475=Refinance_Calculator!$C$29),"",A475+1)</f>
        <v/>
      </c>
      <c r="B476" s="3" t="str">
        <f t="shared" si="64"/>
        <v/>
      </c>
      <c r="C476" s="3" t="str">
        <f>IF(A476="","",(-PMT(Refinance_Calculator!$C$26/12,Refinance_Calculator!$C$29,Refinance_Calculator!$C$23,0,0)))</f>
        <v/>
      </c>
      <c r="D476" s="3" t="str">
        <f t="shared" si="65"/>
        <v/>
      </c>
      <c r="E476" s="3" t="str">
        <f>IF(A476="","",(-PPMT(Refinance_Calculator!$C$26/12,'Internal Working'!A476,Refinance_Calculator!$C$29,Refinance_Calculator!$C$23,0,0)))</f>
        <v/>
      </c>
      <c r="F476" s="3" t="str">
        <f t="shared" si="66"/>
        <v/>
      </c>
      <c r="G476" s="5" t="str">
        <f t="shared" si="67"/>
        <v/>
      </c>
      <c r="H476" s="36" t="str">
        <f t="shared" si="68"/>
        <v/>
      </c>
      <c r="I476" s="37" t="str">
        <f ca="1">+IF(A476 &lt;= $L$2, (Full_Report!C556-'Internal Working'!C476),"")</f>
        <v/>
      </c>
      <c r="J476" s="37" t="str">
        <f t="shared" ca="1" si="62"/>
        <v>0</v>
      </c>
      <c r="K476" s="35" t="str">
        <f t="shared" si="63"/>
        <v>0</v>
      </c>
      <c r="L476" s="35" t="str">
        <f t="shared" si="61"/>
        <v/>
      </c>
      <c r="M476" s="2"/>
    </row>
    <row r="477" spans="1:13" x14ac:dyDescent="0.25">
      <c r="A477" s="1" t="str">
        <f>IF(OR(A476="",F476=0,A476=Refinance_Calculator!$C$29),"",A476+1)</f>
        <v/>
      </c>
      <c r="B477" s="3" t="str">
        <f t="shared" si="64"/>
        <v/>
      </c>
      <c r="C477" s="3" t="str">
        <f>IF(A477="","",(-PMT(Refinance_Calculator!$C$26/12,Refinance_Calculator!$C$29,Refinance_Calculator!$C$23,0,0)))</f>
        <v/>
      </c>
      <c r="D477" s="3" t="str">
        <f t="shared" si="65"/>
        <v/>
      </c>
      <c r="E477" s="3" t="str">
        <f>IF(A477="","",(-PPMT(Refinance_Calculator!$C$26/12,'Internal Working'!A477,Refinance_Calculator!$C$29,Refinance_Calculator!$C$23,0,0)))</f>
        <v/>
      </c>
      <c r="F477" s="3" t="str">
        <f t="shared" si="66"/>
        <v/>
      </c>
      <c r="G477" s="5" t="str">
        <f t="shared" si="67"/>
        <v/>
      </c>
      <c r="H477" s="36" t="str">
        <f t="shared" si="68"/>
        <v/>
      </c>
      <c r="I477" s="37" t="str">
        <f ca="1">+IF(A477 &lt;= $L$2, (Full_Report!C557-'Internal Working'!C477),"")</f>
        <v/>
      </c>
      <c r="J477" s="37" t="str">
        <f t="shared" ca="1" si="62"/>
        <v>0</v>
      </c>
      <c r="K477" s="35" t="str">
        <f t="shared" si="63"/>
        <v>0</v>
      </c>
      <c r="L477" s="35" t="str">
        <f t="shared" si="61"/>
        <v/>
      </c>
      <c r="M477" s="2"/>
    </row>
    <row r="478" spans="1:13" x14ac:dyDescent="0.25">
      <c r="A478" s="1" t="str">
        <f>IF(OR(A477="",F477=0,A477=Refinance_Calculator!$C$29),"",A477+1)</f>
        <v/>
      </c>
      <c r="B478" s="3" t="str">
        <f t="shared" si="64"/>
        <v/>
      </c>
      <c r="C478" s="3" t="str">
        <f>IF(A478="","",(-PMT(Refinance_Calculator!$C$26/12,Refinance_Calculator!$C$29,Refinance_Calculator!$C$23,0,0)))</f>
        <v/>
      </c>
      <c r="D478" s="3" t="str">
        <f t="shared" si="65"/>
        <v/>
      </c>
      <c r="E478" s="3" t="str">
        <f>IF(A478="","",(-PPMT(Refinance_Calculator!$C$26/12,'Internal Working'!A478,Refinance_Calculator!$C$29,Refinance_Calculator!$C$23,0,0)))</f>
        <v/>
      </c>
      <c r="F478" s="3" t="str">
        <f t="shared" si="66"/>
        <v/>
      </c>
      <c r="G478" s="5" t="str">
        <f t="shared" si="67"/>
        <v/>
      </c>
      <c r="H478" s="36" t="str">
        <f t="shared" si="68"/>
        <v/>
      </c>
      <c r="I478" s="37" t="str">
        <f ca="1">+IF(A478 &lt;= $L$2, (Full_Report!C558-'Internal Working'!C478),"")</f>
        <v/>
      </c>
      <c r="J478" s="37" t="str">
        <f t="shared" ca="1" si="62"/>
        <v>0</v>
      </c>
      <c r="K478" s="35" t="str">
        <f t="shared" si="63"/>
        <v>0</v>
      </c>
      <c r="L478" s="35" t="str">
        <f t="shared" si="61"/>
        <v/>
      </c>
      <c r="M478" s="2"/>
    </row>
    <row r="479" spans="1:13" x14ac:dyDescent="0.25">
      <c r="A479" s="1" t="str">
        <f>IF(OR(A478="",F478=0,A478=Refinance_Calculator!$C$29),"",A478+1)</f>
        <v/>
      </c>
      <c r="B479" s="3" t="str">
        <f t="shared" si="64"/>
        <v/>
      </c>
      <c r="C479" s="3" t="str">
        <f>IF(A479="","",(-PMT(Refinance_Calculator!$C$26/12,Refinance_Calculator!$C$29,Refinance_Calculator!$C$23,0,0)))</f>
        <v/>
      </c>
      <c r="D479" s="3" t="str">
        <f t="shared" si="65"/>
        <v/>
      </c>
      <c r="E479" s="3" t="str">
        <f>IF(A479="","",(-PPMT(Refinance_Calculator!$C$26/12,'Internal Working'!A479,Refinance_Calculator!$C$29,Refinance_Calculator!$C$23,0,0)))</f>
        <v/>
      </c>
      <c r="F479" s="3" t="str">
        <f t="shared" si="66"/>
        <v/>
      </c>
      <c r="G479" s="5" t="str">
        <f t="shared" si="67"/>
        <v/>
      </c>
      <c r="H479" s="36" t="str">
        <f t="shared" si="68"/>
        <v/>
      </c>
      <c r="I479" s="37" t="str">
        <f ca="1">+IF(A479 &lt;= $L$2, (Full_Report!C559-'Internal Working'!C479),"")</f>
        <v/>
      </c>
      <c r="J479" s="37" t="str">
        <f t="shared" ca="1" si="62"/>
        <v>0</v>
      </c>
      <c r="K479" s="35" t="str">
        <f t="shared" si="63"/>
        <v>0</v>
      </c>
      <c r="L479" s="35" t="str">
        <f t="shared" si="61"/>
        <v/>
      </c>
      <c r="M479" s="2"/>
    </row>
    <row r="480" spans="1:13" x14ac:dyDescent="0.25">
      <c r="A480" s="1" t="str">
        <f>IF(OR(A479="",F479=0,A479=Refinance_Calculator!$C$29),"",A479+1)</f>
        <v/>
      </c>
      <c r="B480" s="3" t="str">
        <f t="shared" si="64"/>
        <v/>
      </c>
      <c r="C480" s="3" t="str">
        <f>IF(A480="","",(-PMT(Refinance_Calculator!$C$26/12,Refinance_Calculator!$C$29,Refinance_Calculator!$C$23,0,0)))</f>
        <v/>
      </c>
      <c r="D480" s="3" t="str">
        <f t="shared" si="65"/>
        <v/>
      </c>
      <c r="E480" s="3" t="str">
        <f>IF(A480="","",(-PPMT(Refinance_Calculator!$C$26/12,'Internal Working'!A480,Refinance_Calculator!$C$29,Refinance_Calculator!$C$23,0,0)))</f>
        <v/>
      </c>
      <c r="F480" s="3" t="str">
        <f t="shared" si="66"/>
        <v/>
      </c>
      <c r="G480" s="5" t="str">
        <f t="shared" si="67"/>
        <v/>
      </c>
      <c r="H480" s="36" t="str">
        <f t="shared" si="68"/>
        <v/>
      </c>
      <c r="I480" s="37" t="str">
        <f ca="1">+IF(A480 &lt;= $L$2, (Full_Report!C560-'Internal Working'!C480),"")</f>
        <v/>
      </c>
      <c r="J480" s="37" t="str">
        <f t="shared" ca="1" si="62"/>
        <v>0</v>
      </c>
      <c r="K480" s="35" t="str">
        <f t="shared" si="63"/>
        <v>0</v>
      </c>
      <c r="L480" s="35" t="str">
        <f t="shared" si="61"/>
        <v/>
      </c>
      <c r="M480" s="2"/>
    </row>
    <row r="481" spans="1:13" x14ac:dyDescent="0.25">
      <c r="A481" s="1" t="str">
        <f>IF(OR(A480="",F480=0,A480=Refinance_Calculator!$C$29),"",A480+1)</f>
        <v/>
      </c>
      <c r="B481" s="3" t="str">
        <f t="shared" si="64"/>
        <v/>
      </c>
      <c r="C481" s="3" t="str">
        <f>IF(A481="","",(-PMT(Refinance_Calculator!$C$26/12,Refinance_Calculator!$C$29,Refinance_Calculator!$C$23,0,0)))</f>
        <v/>
      </c>
      <c r="D481" s="3" t="str">
        <f t="shared" si="65"/>
        <v/>
      </c>
      <c r="E481" s="3" t="str">
        <f>IF(A481="","",(-PPMT(Refinance_Calculator!$C$26/12,'Internal Working'!A481,Refinance_Calculator!$C$29,Refinance_Calculator!$C$23,0,0)))</f>
        <v/>
      </c>
      <c r="F481" s="3" t="str">
        <f t="shared" si="66"/>
        <v/>
      </c>
      <c r="G481" s="5" t="str">
        <f t="shared" si="67"/>
        <v/>
      </c>
      <c r="H481" s="36" t="str">
        <f t="shared" si="68"/>
        <v/>
      </c>
      <c r="I481" s="37" t="str">
        <f ca="1">+IF(A481 &lt;= $L$2, (Full_Report!C561-'Internal Working'!C481),"")</f>
        <v/>
      </c>
      <c r="J481" s="37" t="str">
        <f t="shared" ca="1" si="62"/>
        <v>0</v>
      </c>
      <c r="K481" s="35" t="str">
        <f t="shared" si="63"/>
        <v>0</v>
      </c>
      <c r="L481" s="35" t="str">
        <f t="shared" si="61"/>
        <v/>
      </c>
      <c r="M481" s="2"/>
    </row>
    <row r="482" spans="1:13" x14ac:dyDescent="0.25">
      <c r="A482" s="1" t="str">
        <f>IF(OR(A481="",F481=0,A481=Refinance_Calculator!$C$29),"",A481+1)</f>
        <v/>
      </c>
      <c r="B482" s="3" t="str">
        <f t="shared" si="64"/>
        <v/>
      </c>
      <c r="C482" s="3" t="str">
        <f>IF(A482="","",(-PMT(Refinance_Calculator!$C$26/12,Refinance_Calculator!$C$29,Refinance_Calculator!$C$23,0,0)))</f>
        <v/>
      </c>
      <c r="D482" s="3" t="str">
        <f t="shared" si="65"/>
        <v/>
      </c>
      <c r="E482" s="3" t="str">
        <f>IF(A482="","",(-PPMT(Refinance_Calculator!$C$26/12,'Internal Working'!A482,Refinance_Calculator!$C$29,Refinance_Calculator!$C$23,0,0)))</f>
        <v/>
      </c>
      <c r="F482" s="3" t="str">
        <f t="shared" si="66"/>
        <v/>
      </c>
      <c r="G482" s="5" t="str">
        <f t="shared" si="67"/>
        <v/>
      </c>
      <c r="H482" s="36" t="str">
        <f t="shared" si="68"/>
        <v/>
      </c>
      <c r="I482" s="37" t="str">
        <f ca="1">+IF(A482 &lt;= $L$2, (Full_Report!C562-'Internal Working'!C482),"")</f>
        <v/>
      </c>
      <c r="J482" s="37" t="str">
        <f t="shared" ca="1" si="62"/>
        <v>0</v>
      </c>
      <c r="K482" s="35" t="str">
        <f t="shared" si="63"/>
        <v>0</v>
      </c>
      <c r="L482" s="35" t="str">
        <f t="shared" si="61"/>
        <v/>
      </c>
      <c r="M482" s="2"/>
    </row>
    <row r="483" spans="1:13" x14ac:dyDescent="0.25">
      <c r="A483" s="1" t="str">
        <f>IF(OR(A482="",F482=0,A482=Refinance_Calculator!$C$29),"",A482+1)</f>
        <v/>
      </c>
      <c r="B483" s="3" t="str">
        <f t="shared" si="64"/>
        <v/>
      </c>
      <c r="C483" s="3" t="str">
        <f>IF(A483="","",(-PMT(Refinance_Calculator!$C$26/12,Refinance_Calculator!$C$29,Refinance_Calculator!$C$23,0,0)))</f>
        <v/>
      </c>
      <c r="D483" s="3" t="str">
        <f t="shared" si="65"/>
        <v/>
      </c>
      <c r="E483" s="3" t="str">
        <f>IF(A483="","",(-PPMT(Refinance_Calculator!$C$26/12,'Internal Working'!A483,Refinance_Calculator!$C$29,Refinance_Calculator!$C$23,0,0)))</f>
        <v/>
      </c>
      <c r="F483" s="3" t="str">
        <f t="shared" si="66"/>
        <v/>
      </c>
      <c r="G483" s="5" t="str">
        <f t="shared" si="67"/>
        <v/>
      </c>
      <c r="H483" s="36" t="str">
        <f t="shared" si="68"/>
        <v/>
      </c>
      <c r="I483" s="37" t="str">
        <f ca="1">+IF(A483 &lt;= $L$2, (Full_Report!C563-'Internal Working'!C483),"")</f>
        <v/>
      </c>
      <c r="J483" s="37" t="str">
        <f t="shared" ca="1" si="62"/>
        <v>0</v>
      </c>
      <c r="K483" s="35" t="str">
        <f t="shared" si="63"/>
        <v>0</v>
      </c>
      <c r="L483" s="35" t="str">
        <f t="shared" si="61"/>
        <v/>
      </c>
      <c r="M483" s="2"/>
    </row>
    <row r="484" spans="1:13" x14ac:dyDescent="0.25">
      <c r="A484" s="1" t="str">
        <f>IF(OR(A483="",F483=0,A483=Refinance_Calculator!$C$29),"",A483+1)</f>
        <v/>
      </c>
      <c r="B484" s="3" t="str">
        <f t="shared" si="64"/>
        <v/>
      </c>
      <c r="C484" s="3" t="str">
        <f>IF(A484="","",(-PMT(Refinance_Calculator!$C$26/12,Refinance_Calculator!$C$29,Refinance_Calculator!$C$23,0,0)))</f>
        <v/>
      </c>
      <c r="D484" s="3" t="str">
        <f t="shared" si="65"/>
        <v/>
      </c>
      <c r="E484" s="3" t="str">
        <f>IF(A484="","",(-PPMT(Refinance_Calculator!$C$26/12,'Internal Working'!A484,Refinance_Calculator!$C$29,Refinance_Calculator!$C$23,0,0)))</f>
        <v/>
      </c>
      <c r="F484" s="3" t="str">
        <f t="shared" si="66"/>
        <v/>
      </c>
      <c r="G484" s="5" t="str">
        <f t="shared" si="67"/>
        <v/>
      </c>
      <c r="H484" s="36" t="str">
        <f t="shared" si="68"/>
        <v/>
      </c>
      <c r="I484" s="37" t="str">
        <f ca="1">+IF(A484 &lt;= $L$2, (Full_Report!C564-'Internal Working'!C484),"")</f>
        <v/>
      </c>
      <c r="J484" s="37" t="str">
        <f t="shared" ca="1" si="62"/>
        <v>0</v>
      </c>
      <c r="K484" s="35" t="str">
        <f t="shared" si="63"/>
        <v>0</v>
      </c>
      <c r="L484" s="35" t="str">
        <f t="shared" si="61"/>
        <v/>
      </c>
      <c r="M484" s="2"/>
    </row>
    <row r="485" spans="1:13" x14ac:dyDescent="0.25">
      <c r="A485" s="1" t="str">
        <f>IF(OR(A484="",F484=0,A484=Refinance_Calculator!$C$29),"",A484+1)</f>
        <v/>
      </c>
      <c r="B485" s="3" t="str">
        <f t="shared" si="64"/>
        <v/>
      </c>
      <c r="C485" s="3" t="str">
        <f>IF(A485="","",(-PMT(Refinance_Calculator!$C$26/12,Refinance_Calculator!$C$29,Refinance_Calculator!$C$23,0,0)))</f>
        <v/>
      </c>
      <c r="D485" s="3" t="str">
        <f t="shared" si="65"/>
        <v/>
      </c>
      <c r="E485" s="3" t="str">
        <f>IF(A485="","",(-PPMT(Refinance_Calculator!$C$26/12,'Internal Working'!A485,Refinance_Calculator!$C$29,Refinance_Calculator!$C$23,0,0)))</f>
        <v/>
      </c>
      <c r="F485" s="3" t="str">
        <f t="shared" si="66"/>
        <v/>
      </c>
      <c r="G485" s="5" t="str">
        <f t="shared" si="67"/>
        <v/>
      </c>
      <c r="H485" s="36" t="str">
        <f t="shared" si="68"/>
        <v/>
      </c>
      <c r="I485" s="37" t="str">
        <f ca="1">+IF(A485 &lt;= $L$2, (Full_Report!C565-'Internal Working'!C485),"")</f>
        <v/>
      </c>
      <c r="J485" s="37" t="str">
        <f t="shared" ca="1" si="62"/>
        <v>0</v>
      </c>
      <c r="K485" s="35" t="str">
        <f t="shared" si="63"/>
        <v>0</v>
      </c>
      <c r="L485" s="35" t="str">
        <f t="shared" si="61"/>
        <v/>
      </c>
      <c r="M485" s="2"/>
    </row>
    <row r="486" spans="1:13" x14ac:dyDescent="0.25">
      <c r="A486" s="1" t="str">
        <f>IF(OR(A485="",F485=0,A485=Refinance_Calculator!$C$29),"",A485+1)</f>
        <v/>
      </c>
      <c r="B486" s="3" t="str">
        <f t="shared" si="64"/>
        <v/>
      </c>
      <c r="C486" s="3" t="str">
        <f>IF(A486="","",(-PMT(Refinance_Calculator!$C$26/12,Refinance_Calculator!$C$29,Refinance_Calculator!$C$23,0,0)))</f>
        <v/>
      </c>
      <c r="D486" s="3" t="str">
        <f t="shared" si="65"/>
        <v/>
      </c>
      <c r="E486" s="3" t="str">
        <f>IF(A486="","",(-PPMT(Refinance_Calculator!$C$26/12,'Internal Working'!A486,Refinance_Calculator!$C$29,Refinance_Calculator!$C$23,0,0)))</f>
        <v/>
      </c>
      <c r="F486" s="3" t="str">
        <f t="shared" si="66"/>
        <v/>
      </c>
      <c r="G486" s="5" t="str">
        <f t="shared" si="67"/>
        <v/>
      </c>
      <c r="H486" s="36" t="str">
        <f t="shared" si="68"/>
        <v/>
      </c>
      <c r="I486" s="37" t="str">
        <f ca="1">+IF(A486 &lt;= $L$2, (Full_Report!C566-'Internal Working'!C486),"")</f>
        <v/>
      </c>
      <c r="J486" s="37" t="str">
        <f t="shared" ca="1" si="62"/>
        <v>0</v>
      </c>
      <c r="K486" s="35" t="str">
        <f t="shared" si="63"/>
        <v>0</v>
      </c>
      <c r="L486" s="35" t="str">
        <f t="shared" si="61"/>
        <v/>
      </c>
      <c r="M486" s="2"/>
    </row>
    <row r="487" spans="1:13" x14ac:dyDescent="0.25">
      <c r="A487" s="1" t="str">
        <f>IF(OR(A486="",F486=0,A486=Refinance_Calculator!$C$29),"",A486+1)</f>
        <v/>
      </c>
      <c r="B487" s="3" t="str">
        <f t="shared" si="64"/>
        <v/>
      </c>
      <c r="C487" s="3" t="str">
        <f>IF(A487="","",(-PMT(Refinance_Calculator!$C$26/12,Refinance_Calculator!$C$29,Refinance_Calculator!$C$23,0,0)))</f>
        <v/>
      </c>
      <c r="D487" s="3" t="str">
        <f t="shared" si="65"/>
        <v/>
      </c>
      <c r="E487" s="3" t="str">
        <f>IF(A487="","",(-PPMT(Refinance_Calculator!$C$26/12,'Internal Working'!A487,Refinance_Calculator!$C$29,Refinance_Calculator!$C$23,0,0)))</f>
        <v/>
      </c>
      <c r="F487" s="3" t="str">
        <f t="shared" si="66"/>
        <v/>
      </c>
      <c r="G487" s="5" t="str">
        <f t="shared" si="67"/>
        <v/>
      </c>
      <c r="H487" s="36" t="str">
        <f t="shared" si="68"/>
        <v/>
      </c>
      <c r="I487" s="37" t="str">
        <f ca="1">+IF(A487 &lt;= $L$2, (Full_Report!C567-'Internal Working'!C487),"")</f>
        <v/>
      </c>
      <c r="J487" s="37" t="str">
        <f t="shared" ca="1" si="62"/>
        <v>0</v>
      </c>
      <c r="K487" s="35" t="str">
        <f t="shared" si="63"/>
        <v>0</v>
      </c>
      <c r="L487" s="35" t="str">
        <f t="shared" si="61"/>
        <v/>
      </c>
      <c r="M487" s="2"/>
    </row>
    <row r="488" spans="1:13" x14ac:dyDescent="0.25">
      <c r="A488" s="1" t="str">
        <f>IF(OR(A487="",F487=0,A487=Refinance_Calculator!$C$29),"",A487+1)</f>
        <v/>
      </c>
      <c r="B488" s="3" t="str">
        <f t="shared" si="64"/>
        <v/>
      </c>
      <c r="C488" s="3" t="str">
        <f>IF(A488="","",(-PMT(Refinance_Calculator!$C$26/12,Refinance_Calculator!$C$29,Refinance_Calculator!$C$23,0,0)))</f>
        <v/>
      </c>
      <c r="D488" s="3" t="str">
        <f t="shared" si="65"/>
        <v/>
      </c>
      <c r="E488" s="3" t="str">
        <f>IF(A488="","",(-PPMT(Refinance_Calculator!$C$26/12,'Internal Working'!A488,Refinance_Calculator!$C$29,Refinance_Calculator!$C$23,0,0)))</f>
        <v/>
      </c>
      <c r="F488" s="3" t="str">
        <f t="shared" si="66"/>
        <v/>
      </c>
      <c r="G488" s="5" t="str">
        <f t="shared" si="67"/>
        <v/>
      </c>
      <c r="H488" s="36" t="str">
        <f t="shared" si="68"/>
        <v/>
      </c>
      <c r="I488" s="37" t="str">
        <f ca="1">+IF(A488 &lt;= $L$2, (Full_Report!C568-'Internal Working'!C488),"")</f>
        <v/>
      </c>
      <c r="J488" s="37" t="str">
        <f t="shared" ca="1" si="62"/>
        <v>0</v>
      </c>
      <c r="K488" s="35" t="str">
        <f t="shared" si="63"/>
        <v>0</v>
      </c>
      <c r="L488" s="35" t="str">
        <f t="shared" si="61"/>
        <v/>
      </c>
      <c r="M488" s="2"/>
    </row>
    <row r="489" spans="1:13" x14ac:dyDescent="0.25">
      <c r="A489" s="1" t="str">
        <f>IF(OR(A488="",F488=0,A488=Refinance_Calculator!$C$29),"",A488+1)</f>
        <v/>
      </c>
      <c r="B489" s="3" t="str">
        <f t="shared" si="64"/>
        <v/>
      </c>
      <c r="C489" s="3" t="str">
        <f>IF(A489="","",(-PMT(Refinance_Calculator!$C$26/12,Refinance_Calculator!$C$29,Refinance_Calculator!$C$23,0,0)))</f>
        <v/>
      </c>
      <c r="D489" s="3" t="str">
        <f t="shared" si="65"/>
        <v/>
      </c>
      <c r="E489" s="3" t="str">
        <f>IF(A489="","",(-PPMT(Refinance_Calculator!$C$26/12,'Internal Working'!A489,Refinance_Calculator!$C$29,Refinance_Calculator!$C$23,0,0)))</f>
        <v/>
      </c>
      <c r="F489" s="3" t="str">
        <f t="shared" si="66"/>
        <v/>
      </c>
      <c r="G489" s="5" t="str">
        <f t="shared" si="67"/>
        <v/>
      </c>
      <c r="H489" s="36" t="str">
        <f t="shared" si="68"/>
        <v/>
      </c>
      <c r="I489" s="37" t="str">
        <f ca="1">+IF(A489 &lt;= $L$2, (Full_Report!C569-'Internal Working'!C489),"")</f>
        <v/>
      </c>
      <c r="J489" s="37" t="str">
        <f t="shared" ca="1" si="62"/>
        <v>0</v>
      </c>
      <c r="K489" s="35" t="str">
        <f t="shared" si="63"/>
        <v>0</v>
      </c>
      <c r="L489" s="35" t="str">
        <f t="shared" si="61"/>
        <v/>
      </c>
      <c r="M489" s="2"/>
    </row>
    <row r="490" spans="1:13" x14ac:dyDescent="0.25">
      <c r="A490" s="1" t="str">
        <f>IF(OR(A489="",F489=0,A489=Refinance_Calculator!$C$29),"",A489+1)</f>
        <v/>
      </c>
      <c r="B490" s="3" t="str">
        <f t="shared" si="64"/>
        <v/>
      </c>
      <c r="C490" s="3" t="str">
        <f>IF(A490="","",(-PMT(Refinance_Calculator!$C$26/12,Refinance_Calculator!$C$29,Refinance_Calculator!$C$23,0,0)))</f>
        <v/>
      </c>
      <c r="D490" s="3" t="str">
        <f t="shared" si="65"/>
        <v/>
      </c>
      <c r="E490" s="3" t="str">
        <f>IF(A490="","",(-PPMT(Refinance_Calculator!$C$26/12,'Internal Working'!A490,Refinance_Calculator!$C$29,Refinance_Calculator!$C$23,0,0)))</f>
        <v/>
      </c>
      <c r="F490" s="3" t="str">
        <f t="shared" si="66"/>
        <v/>
      </c>
      <c r="G490" s="5" t="str">
        <f t="shared" si="67"/>
        <v/>
      </c>
      <c r="H490" s="36" t="str">
        <f t="shared" si="68"/>
        <v/>
      </c>
      <c r="I490" s="37" t="str">
        <f ca="1">+IF(A490 &lt;= $L$2, (Full_Report!C570-'Internal Working'!C490),"")</f>
        <v/>
      </c>
      <c r="J490" s="37" t="str">
        <f t="shared" ca="1" si="62"/>
        <v>0</v>
      </c>
      <c r="K490" s="35" t="str">
        <f t="shared" si="63"/>
        <v>0</v>
      </c>
      <c r="L490" s="35" t="str">
        <f t="shared" si="61"/>
        <v/>
      </c>
      <c r="M490" s="2"/>
    </row>
    <row r="491" spans="1:13" x14ac:dyDescent="0.25">
      <c r="A491" s="1" t="str">
        <f>IF(OR(A490="",F490=0,A490=Refinance_Calculator!$C$29),"",A490+1)</f>
        <v/>
      </c>
      <c r="B491" s="3" t="str">
        <f t="shared" si="64"/>
        <v/>
      </c>
      <c r="C491" s="3" t="str">
        <f>IF(A491="","",(-PMT(Refinance_Calculator!$C$26/12,Refinance_Calculator!$C$29,Refinance_Calculator!$C$23,0,0)))</f>
        <v/>
      </c>
      <c r="D491" s="3" t="str">
        <f t="shared" si="65"/>
        <v/>
      </c>
      <c r="E491" s="3" t="str">
        <f>IF(A491="","",(-PPMT(Refinance_Calculator!$C$26/12,'Internal Working'!A491,Refinance_Calculator!$C$29,Refinance_Calculator!$C$23,0,0)))</f>
        <v/>
      </c>
      <c r="F491" s="3" t="str">
        <f t="shared" si="66"/>
        <v/>
      </c>
      <c r="G491" s="5" t="str">
        <f t="shared" si="67"/>
        <v/>
      </c>
      <c r="H491" s="36" t="str">
        <f t="shared" si="68"/>
        <v/>
      </c>
      <c r="I491" s="37" t="str">
        <f ca="1">+IF(A491 &lt;= $L$2, (Full_Report!C571-'Internal Working'!C491),"")</f>
        <v/>
      </c>
      <c r="J491" s="37" t="str">
        <f t="shared" ca="1" si="62"/>
        <v>0</v>
      </c>
      <c r="K491" s="35" t="str">
        <f t="shared" si="63"/>
        <v>0</v>
      </c>
      <c r="L491" s="35" t="str">
        <f t="shared" si="61"/>
        <v/>
      </c>
      <c r="M491" s="2"/>
    </row>
    <row r="492" spans="1:13" x14ac:dyDescent="0.25">
      <c r="A492" s="1" t="str">
        <f>IF(OR(A491="",F491=0,A491=Refinance_Calculator!$C$29),"",A491+1)</f>
        <v/>
      </c>
      <c r="B492" s="3" t="str">
        <f t="shared" si="64"/>
        <v/>
      </c>
      <c r="C492" s="3" t="str">
        <f>IF(A492="","",(-PMT(Refinance_Calculator!$C$26/12,Refinance_Calculator!$C$29,Refinance_Calculator!$C$23,0,0)))</f>
        <v/>
      </c>
      <c r="D492" s="3" t="str">
        <f t="shared" si="65"/>
        <v/>
      </c>
      <c r="E492" s="3" t="str">
        <f>IF(A492="","",(-PPMT(Refinance_Calculator!$C$26/12,'Internal Working'!A492,Refinance_Calculator!$C$29,Refinance_Calculator!$C$23,0,0)))</f>
        <v/>
      </c>
      <c r="F492" s="3" t="str">
        <f t="shared" si="66"/>
        <v/>
      </c>
      <c r="G492" s="5" t="str">
        <f t="shared" si="67"/>
        <v/>
      </c>
      <c r="H492" s="36" t="str">
        <f t="shared" si="68"/>
        <v/>
      </c>
      <c r="I492" s="37" t="str">
        <f ca="1">+IF(A492 &lt;= $L$2, (Full_Report!C572-'Internal Working'!C492),"")</f>
        <v/>
      </c>
      <c r="J492" s="37" t="str">
        <f t="shared" ca="1" si="62"/>
        <v>0</v>
      </c>
      <c r="K492" s="35" t="str">
        <f t="shared" si="63"/>
        <v>0</v>
      </c>
      <c r="L492" s="35" t="str">
        <f t="shared" si="61"/>
        <v/>
      </c>
      <c r="M492" s="2"/>
    </row>
    <row r="493" spans="1:13" x14ac:dyDescent="0.25">
      <c r="A493" s="1" t="str">
        <f>IF(OR(A492="",F492=0,A492=Refinance_Calculator!$C$29),"",A492+1)</f>
        <v/>
      </c>
      <c r="B493" s="3" t="str">
        <f t="shared" si="64"/>
        <v/>
      </c>
      <c r="C493" s="3" t="str">
        <f>IF(A493="","",(-PMT(Refinance_Calculator!$C$26/12,Refinance_Calculator!$C$29,Refinance_Calculator!$C$23,0,0)))</f>
        <v/>
      </c>
      <c r="D493" s="3" t="str">
        <f t="shared" si="65"/>
        <v/>
      </c>
      <c r="E493" s="3" t="str">
        <f>IF(A493="","",(-PPMT(Refinance_Calculator!$C$26/12,'Internal Working'!A493,Refinance_Calculator!$C$29,Refinance_Calculator!$C$23,0,0)))</f>
        <v/>
      </c>
      <c r="F493" s="3" t="str">
        <f t="shared" si="66"/>
        <v/>
      </c>
      <c r="G493" s="5" t="str">
        <f t="shared" si="67"/>
        <v/>
      </c>
      <c r="H493" s="36" t="str">
        <f t="shared" si="68"/>
        <v/>
      </c>
      <c r="I493" s="37" t="str">
        <f ca="1">+IF(A493 &lt;= $L$2, (Full_Report!C573-'Internal Working'!C493),"")</f>
        <v/>
      </c>
      <c r="J493" s="37" t="str">
        <f t="shared" ca="1" si="62"/>
        <v>0</v>
      </c>
      <c r="K493" s="35" t="str">
        <f t="shared" si="63"/>
        <v>0</v>
      </c>
      <c r="L493" s="35" t="str">
        <f t="shared" si="61"/>
        <v/>
      </c>
      <c r="M493" s="2"/>
    </row>
    <row r="494" spans="1:13" x14ac:dyDescent="0.25">
      <c r="A494" s="1" t="str">
        <f>IF(OR(A493="",F493=0,A493=Refinance_Calculator!$C$29),"",A493+1)</f>
        <v/>
      </c>
      <c r="B494" s="3" t="str">
        <f t="shared" si="64"/>
        <v/>
      </c>
      <c r="C494" s="3" t="str">
        <f>IF(A494="","",(-PMT(Refinance_Calculator!$C$26/12,Refinance_Calculator!$C$29,Refinance_Calculator!$C$23,0,0)))</f>
        <v/>
      </c>
      <c r="D494" s="3" t="str">
        <f t="shared" si="65"/>
        <v/>
      </c>
      <c r="E494" s="3" t="str">
        <f>IF(A494="","",(-PPMT(Refinance_Calculator!$C$26/12,'Internal Working'!A494,Refinance_Calculator!$C$29,Refinance_Calculator!$C$23,0,0)))</f>
        <v/>
      </c>
      <c r="F494" s="3" t="str">
        <f t="shared" si="66"/>
        <v/>
      </c>
      <c r="G494" s="5" t="str">
        <f t="shared" si="67"/>
        <v/>
      </c>
      <c r="H494" s="36" t="str">
        <f t="shared" si="68"/>
        <v/>
      </c>
      <c r="I494" s="37" t="str">
        <f ca="1">+IF(A494 &lt;= $L$2, (Full_Report!C574-'Internal Working'!C494),"")</f>
        <v/>
      </c>
      <c r="J494" s="37" t="str">
        <f t="shared" ca="1" si="62"/>
        <v>0</v>
      </c>
      <c r="K494" s="35" t="str">
        <f t="shared" si="63"/>
        <v>0</v>
      </c>
      <c r="L494" s="35" t="str">
        <f t="shared" si="61"/>
        <v/>
      </c>
      <c r="M494" s="2"/>
    </row>
    <row r="495" spans="1:13" x14ac:dyDescent="0.25">
      <c r="A495" s="1" t="str">
        <f>IF(OR(A494="",F494=0,A494=Refinance_Calculator!$C$29),"",A494+1)</f>
        <v/>
      </c>
      <c r="B495" s="3" t="str">
        <f t="shared" si="64"/>
        <v/>
      </c>
      <c r="C495" s="3" t="str">
        <f>IF(A495="","",(-PMT(Refinance_Calculator!$C$26/12,Refinance_Calculator!$C$29,Refinance_Calculator!$C$23,0,0)))</f>
        <v/>
      </c>
      <c r="D495" s="3" t="str">
        <f t="shared" si="65"/>
        <v/>
      </c>
      <c r="E495" s="3" t="str">
        <f>IF(A495="","",(-PPMT(Refinance_Calculator!$C$26/12,'Internal Working'!A495,Refinance_Calculator!$C$29,Refinance_Calculator!$C$23,0,0)))</f>
        <v/>
      </c>
      <c r="F495" s="3" t="str">
        <f t="shared" si="66"/>
        <v/>
      </c>
      <c r="G495" s="5" t="str">
        <f t="shared" si="67"/>
        <v/>
      </c>
      <c r="H495" s="36" t="str">
        <f t="shared" si="68"/>
        <v/>
      </c>
      <c r="I495" s="37" t="str">
        <f ca="1">+IF(A495 &lt;= $L$2, (Full_Report!C575-'Internal Working'!C495),"")</f>
        <v/>
      </c>
      <c r="J495" s="37" t="str">
        <f t="shared" ca="1" si="62"/>
        <v>0</v>
      </c>
      <c r="K495" s="35" t="str">
        <f t="shared" si="63"/>
        <v>0</v>
      </c>
      <c r="L495" s="35" t="str">
        <f t="shared" si="61"/>
        <v/>
      </c>
      <c r="M495" s="2"/>
    </row>
    <row r="496" spans="1:13" x14ac:dyDescent="0.25">
      <c r="A496" s="1" t="str">
        <f>IF(OR(A495="",F495=0,A495=Refinance_Calculator!$C$29),"",A495+1)</f>
        <v/>
      </c>
      <c r="B496" s="3" t="str">
        <f t="shared" si="64"/>
        <v/>
      </c>
      <c r="C496" s="3" t="str">
        <f>IF(A496="","",(-PMT(Refinance_Calculator!$C$26/12,Refinance_Calculator!$C$29,Refinance_Calculator!$C$23,0,0)))</f>
        <v/>
      </c>
      <c r="D496" s="3" t="str">
        <f t="shared" si="65"/>
        <v/>
      </c>
      <c r="E496" s="3" t="str">
        <f>IF(A496="","",(-PPMT(Refinance_Calculator!$C$26/12,'Internal Working'!A496,Refinance_Calculator!$C$29,Refinance_Calculator!$C$23,0,0)))</f>
        <v/>
      </c>
      <c r="F496" s="3" t="str">
        <f t="shared" si="66"/>
        <v/>
      </c>
      <c r="G496" s="5" t="str">
        <f t="shared" si="67"/>
        <v/>
      </c>
      <c r="H496" s="36" t="str">
        <f t="shared" si="68"/>
        <v/>
      </c>
      <c r="I496" s="37" t="str">
        <f ca="1">+IF(A496 &lt;= $L$2, (Full_Report!C576-'Internal Working'!C496),"")</f>
        <v/>
      </c>
      <c r="J496" s="37" t="str">
        <f t="shared" ca="1" si="62"/>
        <v>0</v>
      </c>
      <c r="K496" s="35" t="str">
        <f t="shared" si="63"/>
        <v>0</v>
      </c>
      <c r="L496" s="35" t="str">
        <f t="shared" si="61"/>
        <v/>
      </c>
      <c r="M496" s="2"/>
    </row>
    <row r="497" spans="1:13" x14ac:dyDescent="0.25">
      <c r="A497" s="1" t="str">
        <f>IF(OR(A496="",F496=0,A496=Refinance_Calculator!$C$29),"",A496+1)</f>
        <v/>
      </c>
      <c r="B497" s="3" t="str">
        <f t="shared" si="64"/>
        <v/>
      </c>
      <c r="C497" s="3" t="str">
        <f>IF(A497="","",(-PMT(Refinance_Calculator!$C$26/12,Refinance_Calculator!$C$29,Refinance_Calculator!$C$23,0,0)))</f>
        <v/>
      </c>
      <c r="D497" s="3" t="str">
        <f t="shared" si="65"/>
        <v/>
      </c>
      <c r="E497" s="3" t="str">
        <f>IF(A497="","",(-PPMT(Refinance_Calculator!$C$26/12,'Internal Working'!A497,Refinance_Calculator!$C$29,Refinance_Calculator!$C$23,0,0)))</f>
        <v/>
      </c>
      <c r="F497" s="3" t="str">
        <f t="shared" si="66"/>
        <v/>
      </c>
      <c r="G497" s="5" t="str">
        <f t="shared" si="67"/>
        <v/>
      </c>
      <c r="H497" s="36" t="str">
        <f t="shared" si="68"/>
        <v/>
      </c>
      <c r="I497" s="37" t="str">
        <f ca="1">+IF(A497 &lt;= $L$2, (Full_Report!C577-'Internal Working'!C497),"")</f>
        <v/>
      </c>
      <c r="J497" s="37" t="str">
        <f t="shared" ca="1" si="62"/>
        <v>0</v>
      </c>
      <c r="K497" s="35" t="str">
        <f t="shared" si="63"/>
        <v>0</v>
      </c>
      <c r="L497" s="35" t="str">
        <f t="shared" si="61"/>
        <v/>
      </c>
      <c r="M497" s="2"/>
    </row>
    <row r="498" spans="1:13" x14ac:dyDescent="0.25">
      <c r="A498" s="1" t="str">
        <f>IF(OR(A497="",F497=0,A497=Refinance_Calculator!$C$29),"",A497+1)</f>
        <v/>
      </c>
      <c r="B498" s="3" t="str">
        <f t="shared" si="64"/>
        <v/>
      </c>
      <c r="C498" s="3" t="str">
        <f>IF(A498="","",(-PMT(Refinance_Calculator!$C$26/12,Refinance_Calculator!$C$29,Refinance_Calculator!$C$23,0,0)))</f>
        <v/>
      </c>
      <c r="D498" s="3" t="str">
        <f t="shared" si="65"/>
        <v/>
      </c>
      <c r="E498" s="3" t="str">
        <f>IF(A498="","",(-PPMT(Refinance_Calculator!$C$26/12,'Internal Working'!A498,Refinance_Calculator!$C$29,Refinance_Calculator!$C$23,0,0)))</f>
        <v/>
      </c>
      <c r="F498" s="3" t="str">
        <f t="shared" si="66"/>
        <v/>
      </c>
      <c r="G498" s="5" t="str">
        <f t="shared" si="67"/>
        <v/>
      </c>
      <c r="H498" s="36" t="str">
        <f t="shared" si="68"/>
        <v/>
      </c>
      <c r="I498" s="37" t="str">
        <f ca="1">+IF(A498 &lt;= $L$2, (Full_Report!C578-'Internal Working'!C498),"")</f>
        <v/>
      </c>
      <c r="J498" s="37" t="str">
        <f t="shared" ca="1" si="62"/>
        <v>0</v>
      </c>
      <c r="K498" s="35" t="str">
        <f t="shared" si="63"/>
        <v>0</v>
      </c>
      <c r="L498" s="35" t="str">
        <f t="shared" si="61"/>
        <v/>
      </c>
      <c r="M498" s="2"/>
    </row>
    <row r="499" spans="1:13" x14ac:dyDescent="0.25">
      <c r="A499" s="1" t="str">
        <f>IF(OR(A498="",F498=0,A498=Refinance_Calculator!$C$29),"",A498+1)</f>
        <v/>
      </c>
      <c r="B499" s="3" t="str">
        <f t="shared" si="64"/>
        <v/>
      </c>
      <c r="C499" s="3" t="str">
        <f>IF(A499="","",(-PMT(Refinance_Calculator!$C$26/12,Refinance_Calculator!$C$29,Refinance_Calculator!$C$23,0,0)))</f>
        <v/>
      </c>
      <c r="D499" s="3" t="str">
        <f t="shared" si="65"/>
        <v/>
      </c>
      <c r="E499" s="3" t="str">
        <f>IF(A499="","",(-PPMT(Refinance_Calculator!$C$26/12,'Internal Working'!A499,Refinance_Calculator!$C$29,Refinance_Calculator!$C$23,0,0)))</f>
        <v/>
      </c>
      <c r="F499" s="3" t="str">
        <f t="shared" si="66"/>
        <v/>
      </c>
      <c r="G499" s="5" t="str">
        <f t="shared" si="67"/>
        <v/>
      </c>
      <c r="H499" s="36" t="str">
        <f t="shared" si="68"/>
        <v/>
      </c>
      <c r="I499" s="37" t="str">
        <f ca="1">+IF(A499 &lt;= $L$2, (Full_Report!C579-'Internal Working'!C499),"")</f>
        <v/>
      </c>
      <c r="J499" s="37" t="str">
        <f t="shared" ca="1" si="62"/>
        <v>0</v>
      </c>
      <c r="K499" s="35" t="str">
        <f t="shared" si="63"/>
        <v>0</v>
      </c>
      <c r="L499" s="35" t="str">
        <f t="shared" si="61"/>
        <v/>
      </c>
      <c r="M499" s="2"/>
    </row>
    <row r="500" spans="1:13" x14ac:dyDescent="0.25">
      <c r="A500" s="1" t="str">
        <f>IF(OR(A499="",F499=0,A499=Refinance_Calculator!$C$29),"",A499+1)</f>
        <v/>
      </c>
      <c r="B500" s="3" t="str">
        <f t="shared" si="64"/>
        <v/>
      </c>
      <c r="C500" s="3" t="str">
        <f>IF(A500="","",(-PMT(Refinance_Calculator!$C$26/12,Refinance_Calculator!$C$29,Refinance_Calculator!$C$23,0,0)))</f>
        <v/>
      </c>
      <c r="D500" s="3" t="str">
        <f t="shared" si="65"/>
        <v/>
      </c>
      <c r="E500" s="3" t="str">
        <f>IF(A500="","",(-PPMT(Refinance_Calculator!$C$26/12,'Internal Working'!A500,Refinance_Calculator!$C$29,Refinance_Calculator!$C$23,0,0)))</f>
        <v/>
      </c>
      <c r="F500" s="3" t="str">
        <f t="shared" si="66"/>
        <v/>
      </c>
      <c r="G500" s="5" t="str">
        <f t="shared" si="67"/>
        <v/>
      </c>
      <c r="H500" s="36" t="str">
        <f t="shared" si="68"/>
        <v/>
      </c>
      <c r="I500" s="37" t="str">
        <f ca="1">+IF(A500 &lt;= $L$2, (Full_Report!C580-'Internal Working'!C500),"")</f>
        <v/>
      </c>
      <c r="J500" s="37" t="str">
        <f t="shared" ca="1" si="62"/>
        <v>0</v>
      </c>
      <c r="K500" s="35" t="str">
        <f t="shared" si="63"/>
        <v>0</v>
      </c>
      <c r="L500" s="35" t="str">
        <f t="shared" si="61"/>
        <v/>
      </c>
      <c r="M500" s="2"/>
    </row>
    <row r="501" spans="1:13" x14ac:dyDescent="0.25">
      <c r="A501" s="1" t="str">
        <f>IF(OR(A500="",F500=0,A500=Refinance_Calculator!$C$29),"",A500+1)</f>
        <v/>
      </c>
      <c r="B501" s="3" t="str">
        <f t="shared" si="64"/>
        <v/>
      </c>
      <c r="C501" s="3" t="str">
        <f>IF(A501="","",(-PMT(Refinance_Calculator!$C$26/12,Refinance_Calculator!$C$29,Refinance_Calculator!$C$23,0,0)))</f>
        <v/>
      </c>
      <c r="D501" s="3" t="str">
        <f t="shared" si="65"/>
        <v/>
      </c>
      <c r="E501" s="3" t="str">
        <f>IF(A501="","",(-PPMT(Refinance_Calculator!$C$26/12,'Internal Working'!A501,Refinance_Calculator!$C$29,Refinance_Calculator!$C$23,0,0)))</f>
        <v/>
      </c>
      <c r="F501" s="3" t="str">
        <f t="shared" si="66"/>
        <v/>
      </c>
      <c r="G501" s="5" t="str">
        <f t="shared" si="67"/>
        <v/>
      </c>
      <c r="H501" s="36" t="str">
        <f t="shared" si="68"/>
        <v/>
      </c>
      <c r="I501" s="37" t="str">
        <f ca="1">+IF(A501 &lt;= $L$2, (Full_Report!C581-'Internal Working'!C501),"")</f>
        <v/>
      </c>
      <c r="J501" s="37" t="str">
        <f t="shared" ca="1" si="62"/>
        <v>0</v>
      </c>
      <c r="K501" s="35" t="str">
        <f t="shared" si="63"/>
        <v>0</v>
      </c>
      <c r="L501" s="35" t="str">
        <f t="shared" si="61"/>
        <v/>
      </c>
      <c r="M501" s="2"/>
    </row>
    <row r="502" spans="1:13" x14ac:dyDescent="0.25">
      <c r="A502" s="1" t="str">
        <f>IF(OR(A501="",F501=0,A501=Refinance_Calculator!$C$29),"",A501+1)</f>
        <v/>
      </c>
      <c r="B502" s="3" t="str">
        <f t="shared" si="64"/>
        <v/>
      </c>
      <c r="C502" s="3" t="str">
        <f>IF(A502="","",(-PMT(Refinance_Calculator!$C$26/12,Refinance_Calculator!$C$29,Refinance_Calculator!$C$23,0,0)))</f>
        <v/>
      </c>
      <c r="D502" s="3" t="str">
        <f t="shared" si="65"/>
        <v/>
      </c>
      <c r="E502" s="3" t="str">
        <f>IF(A502="","",(-PPMT(Refinance_Calculator!$C$26/12,'Internal Working'!A502,Refinance_Calculator!$C$29,Refinance_Calculator!$C$23,0,0)))</f>
        <v/>
      </c>
      <c r="F502" s="3" t="str">
        <f t="shared" si="66"/>
        <v/>
      </c>
      <c r="G502" s="5" t="str">
        <f t="shared" si="67"/>
        <v/>
      </c>
      <c r="H502" s="36" t="str">
        <f t="shared" si="68"/>
        <v/>
      </c>
      <c r="I502" s="37" t="str">
        <f ca="1">+IF(A502 &lt;= $L$2, (Full_Report!C582-'Internal Working'!C502),"")</f>
        <v/>
      </c>
      <c r="J502" s="37" t="str">
        <f t="shared" ca="1" si="62"/>
        <v>0</v>
      </c>
      <c r="K502" s="35" t="str">
        <f t="shared" si="63"/>
        <v>0</v>
      </c>
      <c r="L502" s="35" t="str">
        <f t="shared" si="61"/>
        <v/>
      </c>
      <c r="M502" s="2"/>
    </row>
    <row r="503" spans="1:13" x14ac:dyDescent="0.25">
      <c r="A503" s="1" t="str">
        <f>IF(OR(A502="",F502=0,A502=Refinance_Calculator!$C$29),"",A502+1)</f>
        <v/>
      </c>
      <c r="B503" s="3" t="str">
        <f t="shared" si="64"/>
        <v/>
      </c>
      <c r="C503" s="3" t="str">
        <f>IF(A503="","",(-PMT(Refinance_Calculator!$C$26/12,Refinance_Calculator!$C$29,Refinance_Calculator!$C$23,0,0)))</f>
        <v/>
      </c>
      <c r="D503" s="3" t="str">
        <f t="shared" si="65"/>
        <v/>
      </c>
      <c r="E503" s="3" t="str">
        <f>IF(A503="","",(-PPMT(Refinance_Calculator!$C$26/12,'Internal Working'!A503,Refinance_Calculator!$C$29,Refinance_Calculator!$C$23,0,0)))</f>
        <v/>
      </c>
      <c r="F503" s="3" t="str">
        <f t="shared" si="66"/>
        <v/>
      </c>
      <c r="G503" s="5" t="str">
        <f t="shared" si="67"/>
        <v/>
      </c>
      <c r="H503" s="36" t="str">
        <f t="shared" si="68"/>
        <v/>
      </c>
      <c r="I503" s="37" t="str">
        <f ca="1">+IF(A503 &lt;= $L$2, (Full_Report!C583-'Internal Working'!C503),"")</f>
        <v/>
      </c>
      <c r="J503" s="37" t="str">
        <f t="shared" ca="1" si="62"/>
        <v>0</v>
      </c>
      <c r="K503" s="35" t="str">
        <f t="shared" si="63"/>
        <v>0</v>
      </c>
      <c r="L503" s="35" t="str">
        <f t="shared" si="61"/>
        <v/>
      </c>
      <c r="M503" s="2"/>
    </row>
    <row r="504" spans="1:13" x14ac:dyDescent="0.25">
      <c r="A504" s="1" t="str">
        <f>IF(OR(A503="",F503=0,A503=Refinance_Calculator!$C$29),"",A503+1)</f>
        <v/>
      </c>
      <c r="B504" s="3" t="str">
        <f t="shared" si="64"/>
        <v/>
      </c>
      <c r="C504" s="3" t="str">
        <f>IF(A504="","",(-PMT(Refinance_Calculator!$C$26/12,Refinance_Calculator!$C$29,Refinance_Calculator!$C$23,0,0)))</f>
        <v/>
      </c>
      <c r="D504" s="3" t="str">
        <f t="shared" si="65"/>
        <v/>
      </c>
      <c r="E504" s="3" t="str">
        <f>IF(A504="","",(-PPMT(Refinance_Calculator!$C$26/12,'Internal Working'!A504,Refinance_Calculator!$C$29,Refinance_Calculator!$C$23,0,0)))</f>
        <v/>
      </c>
      <c r="F504" s="3" t="str">
        <f t="shared" si="66"/>
        <v/>
      </c>
      <c r="G504" s="5" t="str">
        <f t="shared" si="67"/>
        <v/>
      </c>
      <c r="H504" s="36" t="str">
        <f t="shared" si="68"/>
        <v/>
      </c>
      <c r="I504" s="37" t="str">
        <f ca="1">+IF(A504 &lt;= $L$2, (Full_Report!C584-'Internal Working'!C504),"")</f>
        <v/>
      </c>
      <c r="J504" s="37" t="str">
        <f t="shared" ca="1" si="62"/>
        <v>0</v>
      </c>
      <c r="K504" s="35" t="str">
        <f t="shared" si="63"/>
        <v>0</v>
      </c>
      <c r="L504" s="35" t="str">
        <f t="shared" si="61"/>
        <v/>
      </c>
      <c r="M504" s="2"/>
    </row>
    <row r="505" spans="1:13" x14ac:dyDescent="0.25">
      <c r="A505" s="1" t="str">
        <f>IF(OR(A504="",F504=0,A504=Refinance_Calculator!$C$29),"",A504+1)</f>
        <v/>
      </c>
      <c r="B505" s="3" t="str">
        <f t="shared" si="64"/>
        <v/>
      </c>
      <c r="C505" s="3" t="str">
        <f>IF(A505="","",(-PMT(Refinance_Calculator!$C$26/12,Refinance_Calculator!$C$29,Refinance_Calculator!$C$23,0,0)))</f>
        <v/>
      </c>
      <c r="D505" s="3" t="str">
        <f t="shared" si="65"/>
        <v/>
      </c>
      <c r="E505" s="3" t="str">
        <f>IF(A505="","",(-PPMT(Refinance_Calculator!$C$26/12,'Internal Working'!A505,Refinance_Calculator!$C$29,Refinance_Calculator!$C$23,0,0)))</f>
        <v/>
      </c>
      <c r="F505" s="3" t="str">
        <f t="shared" si="66"/>
        <v/>
      </c>
      <c r="G505" s="5" t="str">
        <f t="shared" si="67"/>
        <v/>
      </c>
      <c r="H505" s="36" t="str">
        <f t="shared" si="68"/>
        <v/>
      </c>
      <c r="I505" s="37" t="str">
        <f ca="1">+IF(A505 &lt;= $L$2, (Full_Report!C585-'Internal Working'!C505),"")</f>
        <v/>
      </c>
      <c r="J505" s="37" t="str">
        <f t="shared" ca="1" si="62"/>
        <v>0</v>
      </c>
      <c r="K505" s="35" t="str">
        <f t="shared" si="63"/>
        <v>0</v>
      </c>
      <c r="L505" s="35" t="str">
        <f t="shared" si="61"/>
        <v/>
      </c>
      <c r="M505" s="2"/>
    </row>
    <row r="506" spans="1:13" x14ac:dyDescent="0.25">
      <c r="A506" s="1" t="str">
        <f>IF(OR(A505="",F505=0,A505=Refinance_Calculator!$C$29),"",A505+1)</f>
        <v/>
      </c>
      <c r="B506" s="3" t="str">
        <f t="shared" si="64"/>
        <v/>
      </c>
      <c r="C506" s="3" t="str">
        <f>IF(A506="","",(-PMT(Refinance_Calculator!$C$26/12,Refinance_Calculator!$C$29,Refinance_Calculator!$C$23,0,0)))</f>
        <v/>
      </c>
      <c r="D506" s="3" t="str">
        <f t="shared" si="65"/>
        <v/>
      </c>
      <c r="E506" s="3" t="str">
        <f>IF(A506="","",(-PPMT(Refinance_Calculator!$C$26/12,'Internal Working'!A506,Refinance_Calculator!$C$29,Refinance_Calculator!$C$23,0,0)))</f>
        <v/>
      </c>
      <c r="F506" s="3" t="str">
        <f t="shared" si="66"/>
        <v/>
      </c>
      <c r="G506" s="5" t="str">
        <f t="shared" si="67"/>
        <v/>
      </c>
      <c r="H506" s="36" t="str">
        <f t="shared" si="68"/>
        <v/>
      </c>
      <c r="I506" s="37" t="str">
        <f ca="1">+IF(A506 &lt;= $L$2, (Full_Report!C586-'Internal Working'!C506),"")</f>
        <v/>
      </c>
      <c r="J506" s="37" t="str">
        <f t="shared" ca="1" si="62"/>
        <v>0</v>
      </c>
      <c r="K506" s="35" t="str">
        <f t="shared" si="63"/>
        <v>0</v>
      </c>
      <c r="L506" s="35" t="str">
        <f t="shared" si="61"/>
        <v/>
      </c>
      <c r="M506" s="2"/>
    </row>
    <row r="507" spans="1:13" x14ac:dyDescent="0.25">
      <c r="A507" s="1" t="str">
        <f>IF(OR(A506="",F506=0,A506=Refinance_Calculator!$C$29),"",A506+1)</f>
        <v/>
      </c>
      <c r="B507" s="3" t="str">
        <f t="shared" si="64"/>
        <v/>
      </c>
      <c r="C507" s="3" t="str">
        <f>IF(A507="","",(-PMT(Refinance_Calculator!$C$26/12,Refinance_Calculator!$C$29,Refinance_Calculator!$C$23,0,0)))</f>
        <v/>
      </c>
      <c r="D507" s="3" t="str">
        <f t="shared" si="65"/>
        <v/>
      </c>
      <c r="E507" s="3" t="str">
        <f>IF(A507="","",(-PPMT(Refinance_Calculator!$C$26/12,'Internal Working'!A507,Refinance_Calculator!$C$29,Refinance_Calculator!$C$23,0,0)))</f>
        <v/>
      </c>
      <c r="F507" s="3" t="str">
        <f t="shared" si="66"/>
        <v/>
      </c>
      <c r="G507" s="5" t="str">
        <f t="shared" si="67"/>
        <v/>
      </c>
      <c r="H507" s="36" t="str">
        <f t="shared" si="68"/>
        <v/>
      </c>
      <c r="I507" s="37" t="str">
        <f ca="1">+IF(A507 &lt;= $L$2, (Full_Report!C587-'Internal Working'!C507),"")</f>
        <v/>
      </c>
      <c r="J507" s="37" t="str">
        <f t="shared" ca="1" si="62"/>
        <v>0</v>
      </c>
      <c r="K507" s="35" t="str">
        <f t="shared" si="63"/>
        <v>0</v>
      </c>
      <c r="L507" s="35" t="str">
        <f t="shared" si="61"/>
        <v/>
      </c>
      <c r="M507" s="2"/>
    </row>
    <row r="508" spans="1:13" x14ac:dyDescent="0.25">
      <c r="A508" s="1" t="str">
        <f>IF(OR(A507="",F507=0,A507=Refinance_Calculator!$C$29),"",A507+1)</f>
        <v/>
      </c>
      <c r="B508" s="3" t="str">
        <f t="shared" si="64"/>
        <v/>
      </c>
      <c r="C508" s="3" t="str">
        <f>IF(A508="","",(-PMT(Refinance_Calculator!$C$26/12,Refinance_Calculator!$C$29,Refinance_Calculator!$C$23,0,0)))</f>
        <v/>
      </c>
      <c r="D508" s="3" t="str">
        <f t="shared" si="65"/>
        <v/>
      </c>
      <c r="E508" s="3" t="str">
        <f>IF(A508="","",(-PPMT(Refinance_Calculator!$C$26/12,'Internal Working'!A508,Refinance_Calculator!$C$29,Refinance_Calculator!$C$23,0,0)))</f>
        <v/>
      </c>
      <c r="F508" s="3" t="str">
        <f t="shared" si="66"/>
        <v/>
      </c>
      <c r="G508" s="5" t="str">
        <f t="shared" si="67"/>
        <v/>
      </c>
      <c r="H508" s="36" t="str">
        <f t="shared" si="68"/>
        <v/>
      </c>
      <c r="I508" s="37" t="str">
        <f ca="1">+IF(A508 &lt;= $L$2, (Full_Report!C588-'Internal Working'!C508),"")</f>
        <v/>
      </c>
      <c r="J508" s="37" t="str">
        <f t="shared" ca="1" si="62"/>
        <v>0</v>
      </c>
      <c r="K508" s="35" t="str">
        <f t="shared" si="63"/>
        <v>0</v>
      </c>
      <c r="L508" s="35" t="str">
        <f t="shared" si="61"/>
        <v/>
      </c>
      <c r="M508" s="2"/>
    </row>
    <row r="509" spans="1:13" x14ac:dyDescent="0.25">
      <c r="A509" s="1" t="str">
        <f>IF(OR(A508="",F508=0,A508=Refinance_Calculator!$C$29),"",A508+1)</f>
        <v/>
      </c>
      <c r="B509" s="3" t="str">
        <f t="shared" si="64"/>
        <v/>
      </c>
      <c r="C509" s="3" t="str">
        <f>IF(A509="","",(-PMT(Refinance_Calculator!$C$26/12,Refinance_Calculator!$C$29,Refinance_Calculator!$C$23,0,0)))</f>
        <v/>
      </c>
      <c r="D509" s="3" t="str">
        <f t="shared" si="65"/>
        <v/>
      </c>
      <c r="E509" s="3" t="str">
        <f>IF(A509="","",(-PPMT(Refinance_Calculator!$C$26/12,'Internal Working'!A509,Refinance_Calculator!$C$29,Refinance_Calculator!$C$23,0,0)))</f>
        <v/>
      </c>
      <c r="F509" s="3" t="str">
        <f t="shared" si="66"/>
        <v/>
      </c>
      <c r="G509" s="5" t="str">
        <f t="shared" si="67"/>
        <v/>
      </c>
      <c r="H509" s="36" t="str">
        <f t="shared" si="68"/>
        <v/>
      </c>
      <c r="I509" s="37" t="str">
        <f ca="1">+IF(A509 &lt;= $L$2, (Full_Report!C589-'Internal Working'!C509),"")</f>
        <v/>
      </c>
      <c r="J509" s="37" t="str">
        <f t="shared" ca="1" si="62"/>
        <v>0</v>
      </c>
      <c r="K509" s="35" t="str">
        <f t="shared" si="63"/>
        <v>0</v>
      </c>
      <c r="L509" s="35" t="str">
        <f t="shared" si="61"/>
        <v/>
      </c>
      <c r="M509" s="2"/>
    </row>
    <row r="510" spans="1:13" x14ac:dyDescent="0.25">
      <c r="A510" s="1" t="str">
        <f>IF(OR(A509="",F509=0,A509=Refinance_Calculator!$C$29),"",A509+1)</f>
        <v/>
      </c>
      <c r="B510" s="3" t="str">
        <f t="shared" si="64"/>
        <v/>
      </c>
      <c r="C510" s="3" t="str">
        <f>IF(A510="","",(-PMT(Refinance_Calculator!$C$26/12,Refinance_Calculator!$C$29,Refinance_Calculator!$C$23,0,0)))</f>
        <v/>
      </c>
      <c r="D510" s="3" t="str">
        <f t="shared" si="65"/>
        <v/>
      </c>
      <c r="E510" s="3" t="str">
        <f>IF(A510="","",(-PPMT(Refinance_Calculator!$C$26/12,'Internal Working'!A510,Refinance_Calculator!$C$29,Refinance_Calculator!$C$23,0,0)))</f>
        <v/>
      </c>
      <c r="F510" s="3" t="str">
        <f t="shared" si="66"/>
        <v/>
      </c>
      <c r="G510" s="5" t="str">
        <f t="shared" si="67"/>
        <v/>
      </c>
      <c r="H510" s="36" t="str">
        <f t="shared" si="68"/>
        <v/>
      </c>
      <c r="I510" s="37" t="str">
        <f ca="1">+IF(A510 &lt;= $L$2, (Full_Report!C590-'Internal Working'!C510),"")</f>
        <v/>
      </c>
      <c r="J510" s="37" t="str">
        <f t="shared" ca="1" si="62"/>
        <v>0</v>
      </c>
      <c r="K510" s="35" t="str">
        <f t="shared" si="63"/>
        <v>0</v>
      </c>
      <c r="L510" s="35" t="str">
        <f t="shared" si="61"/>
        <v/>
      </c>
      <c r="M510" s="2"/>
    </row>
    <row r="511" spans="1:13" x14ac:dyDescent="0.25">
      <c r="A511" s="1" t="str">
        <f>IF(OR(A510="",F510=0,A510=Refinance_Calculator!$C$29),"",A510+1)</f>
        <v/>
      </c>
      <c r="B511" s="3" t="str">
        <f t="shared" si="64"/>
        <v/>
      </c>
      <c r="C511" s="3" t="str">
        <f>IF(A511="","",(-PMT(Refinance_Calculator!$C$26/12,Refinance_Calculator!$C$29,Refinance_Calculator!$C$23,0,0)))</f>
        <v/>
      </c>
      <c r="D511" s="3" t="str">
        <f t="shared" si="65"/>
        <v/>
      </c>
      <c r="E511" s="3" t="str">
        <f>IF(A511="","",(-PPMT(Refinance_Calculator!$C$26/12,'Internal Working'!A511,Refinance_Calculator!$C$29,Refinance_Calculator!$C$23,0,0)))</f>
        <v/>
      </c>
      <c r="F511" s="3" t="str">
        <f t="shared" si="66"/>
        <v/>
      </c>
      <c r="G511" s="5" t="str">
        <f t="shared" si="67"/>
        <v/>
      </c>
      <c r="H511" s="36" t="str">
        <f t="shared" si="68"/>
        <v/>
      </c>
      <c r="I511" s="37" t="str">
        <f ca="1">+IF(A511 &lt;= $L$2, (Full_Report!C591-'Internal Working'!C511),"")</f>
        <v/>
      </c>
      <c r="J511" s="37" t="str">
        <f t="shared" ca="1" si="62"/>
        <v>0</v>
      </c>
      <c r="K511" s="35" t="str">
        <f t="shared" si="63"/>
        <v>0</v>
      </c>
      <c r="L511" s="35" t="str">
        <f t="shared" si="61"/>
        <v/>
      </c>
      <c r="M511" s="2"/>
    </row>
    <row r="512" spans="1:13" x14ac:dyDescent="0.25">
      <c r="A512" s="1" t="str">
        <f>IF(OR(A511="",F511=0,A511=Refinance_Calculator!$C$29),"",A511+1)</f>
        <v/>
      </c>
      <c r="B512" s="3" t="str">
        <f t="shared" si="64"/>
        <v/>
      </c>
      <c r="C512" s="3" t="str">
        <f>IF(A512="","",(-PMT(Refinance_Calculator!$C$26/12,Refinance_Calculator!$C$29,Refinance_Calculator!$C$23,0,0)))</f>
        <v/>
      </c>
      <c r="D512" s="3" t="str">
        <f t="shared" si="65"/>
        <v/>
      </c>
      <c r="E512" s="3" t="str">
        <f>IF(A512="","",(-PPMT(Refinance_Calculator!$C$26/12,'Internal Working'!A512,Refinance_Calculator!$C$29,Refinance_Calculator!$C$23,0,0)))</f>
        <v/>
      </c>
      <c r="F512" s="3" t="str">
        <f t="shared" si="66"/>
        <v/>
      </c>
      <c r="G512" s="5" t="str">
        <f t="shared" si="67"/>
        <v/>
      </c>
      <c r="H512" s="36" t="str">
        <f t="shared" si="68"/>
        <v/>
      </c>
      <c r="I512" s="37" t="str">
        <f ca="1">+IF(A512 &lt;= $L$2, (Full_Report!C592-'Internal Working'!C512),"")</f>
        <v/>
      </c>
      <c r="J512" s="37" t="str">
        <f t="shared" ca="1" si="62"/>
        <v>0</v>
      </c>
      <c r="K512" s="35" t="str">
        <f t="shared" si="63"/>
        <v>0</v>
      </c>
      <c r="L512" s="35" t="str">
        <f t="shared" si="61"/>
        <v/>
      </c>
      <c r="M512" s="2"/>
    </row>
    <row r="513" spans="1:13" x14ac:dyDescent="0.25">
      <c r="A513" s="1" t="str">
        <f>IF(OR(A512="",F512=0,A512=Refinance_Calculator!$C$29),"",A512+1)</f>
        <v/>
      </c>
      <c r="B513" s="3" t="str">
        <f t="shared" si="64"/>
        <v/>
      </c>
      <c r="C513" s="3" t="str">
        <f>IF(A513="","",(-PMT(Refinance_Calculator!$C$26/12,Refinance_Calculator!$C$29,Refinance_Calculator!$C$23,0,0)))</f>
        <v/>
      </c>
      <c r="D513" s="3" t="str">
        <f t="shared" si="65"/>
        <v/>
      </c>
      <c r="E513" s="3" t="str">
        <f>IF(A513="","",(-PPMT(Refinance_Calculator!$C$26/12,'Internal Working'!A513,Refinance_Calculator!$C$29,Refinance_Calculator!$C$23,0,0)))</f>
        <v/>
      </c>
      <c r="F513" s="3" t="str">
        <f t="shared" si="66"/>
        <v/>
      </c>
      <c r="G513" s="5" t="str">
        <f t="shared" si="67"/>
        <v/>
      </c>
      <c r="H513" s="36" t="str">
        <f t="shared" si="68"/>
        <v/>
      </c>
      <c r="I513" s="37" t="str">
        <f ca="1">+IF(A513 &lt;= $L$2, (Full_Report!C593-'Internal Working'!C513),"")</f>
        <v/>
      </c>
      <c r="J513" s="37" t="str">
        <f t="shared" ca="1" si="62"/>
        <v>0</v>
      </c>
      <c r="K513" s="35" t="str">
        <f t="shared" si="63"/>
        <v>0</v>
      </c>
      <c r="L513" s="35" t="str">
        <f t="shared" si="61"/>
        <v/>
      </c>
      <c r="M513" s="2"/>
    </row>
    <row r="514" spans="1:13" x14ac:dyDescent="0.25">
      <c r="A514" s="1" t="str">
        <f>IF(OR(A513="",F513=0,A513=Refinance_Calculator!$C$29),"",A513+1)</f>
        <v/>
      </c>
      <c r="B514" s="3" t="str">
        <f t="shared" si="64"/>
        <v/>
      </c>
      <c r="C514" s="3" t="str">
        <f>IF(A514="","",(-PMT(Refinance_Calculator!$C$26/12,Refinance_Calculator!$C$29,Refinance_Calculator!$C$23,0,0)))</f>
        <v/>
      </c>
      <c r="D514" s="3" t="str">
        <f t="shared" si="65"/>
        <v/>
      </c>
      <c r="E514" s="3" t="str">
        <f>IF(A514="","",(-PPMT(Refinance_Calculator!$C$26/12,'Internal Working'!A514,Refinance_Calculator!$C$29,Refinance_Calculator!$C$23,0,0)))</f>
        <v/>
      </c>
      <c r="F514" s="3" t="str">
        <f t="shared" si="66"/>
        <v/>
      </c>
      <c r="G514" s="5" t="str">
        <f t="shared" si="67"/>
        <v/>
      </c>
      <c r="H514" s="36" t="str">
        <f t="shared" si="68"/>
        <v/>
      </c>
      <c r="I514" s="37" t="str">
        <f ca="1">+IF(A514 &lt;= $L$2, (Full_Report!C594-'Internal Working'!C514),"")</f>
        <v/>
      </c>
      <c r="J514" s="37" t="str">
        <f t="shared" ca="1" si="62"/>
        <v>0</v>
      </c>
      <c r="K514" s="35" t="str">
        <f t="shared" si="63"/>
        <v>0</v>
      </c>
      <c r="L514" s="35" t="str">
        <f t="shared" si="61"/>
        <v/>
      </c>
      <c r="M514" s="2"/>
    </row>
    <row r="515" spans="1:13" x14ac:dyDescent="0.25">
      <c r="A515" s="1" t="str">
        <f>IF(OR(A514="",F514=0,A514=Refinance_Calculator!$C$29),"",A514+1)</f>
        <v/>
      </c>
      <c r="B515" s="3" t="str">
        <f t="shared" si="64"/>
        <v/>
      </c>
      <c r="C515" s="3" t="str">
        <f>IF(A515="","",(-PMT(Refinance_Calculator!$C$26/12,Refinance_Calculator!$C$29,Refinance_Calculator!$C$23,0,0)))</f>
        <v/>
      </c>
      <c r="D515" s="3" t="str">
        <f t="shared" si="65"/>
        <v/>
      </c>
      <c r="E515" s="3" t="str">
        <f>IF(A515="","",(-PPMT(Refinance_Calculator!$C$26/12,'Internal Working'!A515,Refinance_Calculator!$C$29,Refinance_Calculator!$C$23,0,0)))</f>
        <v/>
      </c>
      <c r="F515" s="3" t="str">
        <f t="shared" si="66"/>
        <v/>
      </c>
      <c r="G515" s="5" t="str">
        <f t="shared" si="67"/>
        <v/>
      </c>
      <c r="H515" s="36" t="str">
        <f t="shared" si="68"/>
        <v/>
      </c>
      <c r="I515" s="37" t="str">
        <f ca="1">+IF(A515 &lt;= $L$2, (Full_Report!C595-'Internal Working'!C515),"")</f>
        <v/>
      </c>
      <c r="J515" s="37" t="str">
        <f t="shared" ca="1" si="62"/>
        <v>0</v>
      </c>
      <c r="K515" s="35" t="str">
        <f t="shared" si="63"/>
        <v>0</v>
      </c>
      <c r="L515" s="35" t="str">
        <f t="shared" si="61"/>
        <v/>
      </c>
      <c r="M515" s="2"/>
    </row>
    <row r="516" spans="1:13" x14ac:dyDescent="0.25">
      <c r="A516" s="1" t="str">
        <f>IF(OR(A515="",F515=0,A515=Refinance_Calculator!$C$29),"",A515+1)</f>
        <v/>
      </c>
      <c r="B516" s="3" t="str">
        <f t="shared" si="64"/>
        <v/>
      </c>
      <c r="C516" s="3" t="str">
        <f>IF(A516="","",(-PMT(Refinance_Calculator!$C$26/12,Refinance_Calculator!$C$29,Refinance_Calculator!$C$23,0,0)))</f>
        <v/>
      </c>
      <c r="D516" s="3" t="str">
        <f t="shared" si="65"/>
        <v/>
      </c>
      <c r="E516" s="3" t="str">
        <f>IF(A516="","",(-PPMT(Refinance_Calculator!$C$26/12,'Internal Working'!A516,Refinance_Calculator!$C$29,Refinance_Calculator!$C$23,0,0)))</f>
        <v/>
      </c>
      <c r="F516" s="3" t="str">
        <f t="shared" si="66"/>
        <v/>
      </c>
      <c r="G516" s="5" t="str">
        <f t="shared" si="67"/>
        <v/>
      </c>
      <c r="H516" s="36" t="str">
        <f t="shared" si="68"/>
        <v/>
      </c>
      <c r="I516" s="37" t="str">
        <f ca="1">+IF(A516 &lt;= $L$2, (Full_Report!C596-'Internal Working'!C516),"")</f>
        <v/>
      </c>
      <c r="J516" s="37" t="str">
        <f t="shared" ca="1" si="62"/>
        <v>0</v>
      </c>
      <c r="K516" s="35" t="str">
        <f t="shared" si="63"/>
        <v>0</v>
      </c>
      <c r="L516" s="35" t="str">
        <f t="shared" si="61"/>
        <v/>
      </c>
      <c r="M516" s="2"/>
    </row>
    <row r="517" spans="1:13" x14ac:dyDescent="0.25">
      <c r="A517" s="1" t="str">
        <f>IF(OR(A516="",F516=0,A516=Refinance_Calculator!$C$29),"",A516+1)</f>
        <v/>
      </c>
      <c r="B517" s="3" t="str">
        <f t="shared" si="64"/>
        <v/>
      </c>
      <c r="C517" s="3" t="str">
        <f>IF(A517="","",(-PMT(Refinance_Calculator!$C$26/12,Refinance_Calculator!$C$29,Refinance_Calculator!$C$23,0,0)))</f>
        <v/>
      </c>
      <c r="D517" s="3" t="str">
        <f t="shared" si="65"/>
        <v/>
      </c>
      <c r="E517" s="3" t="str">
        <f>IF(A517="","",(-PPMT(Refinance_Calculator!$C$26/12,'Internal Working'!A517,Refinance_Calculator!$C$29,Refinance_Calculator!$C$23,0,0)))</f>
        <v/>
      </c>
      <c r="F517" s="3" t="str">
        <f t="shared" si="66"/>
        <v/>
      </c>
      <c r="G517" s="5" t="str">
        <f t="shared" si="67"/>
        <v/>
      </c>
      <c r="H517" s="36" t="str">
        <f t="shared" si="68"/>
        <v/>
      </c>
      <c r="I517" s="37" t="str">
        <f ca="1">+IF(A517 &lt;= $L$2, (Full_Report!C597-'Internal Working'!C517),"")</f>
        <v/>
      </c>
      <c r="J517" s="37" t="str">
        <f t="shared" ca="1" si="62"/>
        <v>0</v>
      </c>
      <c r="K517" s="35" t="str">
        <f t="shared" si="63"/>
        <v>0</v>
      </c>
      <c r="L517" s="35" t="str">
        <f t="shared" si="61"/>
        <v/>
      </c>
      <c r="M517" s="2"/>
    </row>
    <row r="518" spans="1:13" x14ac:dyDescent="0.25">
      <c r="A518" s="1" t="str">
        <f>IF(OR(A517="",F517=0,A517=Refinance_Calculator!$C$29),"",A517+1)</f>
        <v/>
      </c>
      <c r="B518" s="3" t="str">
        <f t="shared" si="64"/>
        <v/>
      </c>
      <c r="C518" s="3" t="str">
        <f>IF(A518="","",(-PMT(Refinance_Calculator!$C$26/12,Refinance_Calculator!$C$29,Refinance_Calculator!$C$23,0,0)))</f>
        <v/>
      </c>
      <c r="D518" s="3" t="str">
        <f t="shared" si="65"/>
        <v/>
      </c>
      <c r="E518" s="3" t="str">
        <f>IF(A518="","",(-PPMT(Refinance_Calculator!$C$26/12,'Internal Working'!A518,Refinance_Calculator!$C$29,Refinance_Calculator!$C$23,0,0)))</f>
        <v/>
      </c>
      <c r="F518" s="3" t="str">
        <f t="shared" si="66"/>
        <v/>
      </c>
      <c r="G518" s="5" t="str">
        <f t="shared" si="67"/>
        <v/>
      </c>
      <c r="H518" s="36" t="str">
        <f t="shared" si="68"/>
        <v/>
      </c>
      <c r="I518" s="37" t="str">
        <f ca="1">+IF(A518 &lt;= $L$2, (Full_Report!C598-'Internal Working'!C518),"")</f>
        <v/>
      </c>
      <c r="J518" s="37" t="str">
        <f t="shared" ca="1" si="62"/>
        <v>0</v>
      </c>
      <c r="K518" s="35" t="str">
        <f t="shared" si="63"/>
        <v>0</v>
      </c>
      <c r="L518" s="35" t="str">
        <f t="shared" si="61"/>
        <v/>
      </c>
      <c r="M518" s="2"/>
    </row>
    <row r="519" spans="1:13" x14ac:dyDescent="0.25">
      <c r="A519" s="1" t="str">
        <f>IF(OR(A518="",F518=0,A518=Refinance_Calculator!$C$29),"",A518+1)</f>
        <v/>
      </c>
      <c r="B519" s="3" t="str">
        <f t="shared" si="64"/>
        <v/>
      </c>
      <c r="C519" s="3" t="str">
        <f>IF(A519="","",(-PMT(Refinance_Calculator!$C$26/12,Refinance_Calculator!$C$29,Refinance_Calculator!$C$23,0,0)))</f>
        <v/>
      </c>
      <c r="D519" s="3" t="str">
        <f t="shared" si="65"/>
        <v/>
      </c>
      <c r="E519" s="3" t="str">
        <f>IF(A519="","",(-PPMT(Refinance_Calculator!$C$26/12,'Internal Working'!A519,Refinance_Calculator!$C$29,Refinance_Calculator!$C$23,0,0)))</f>
        <v/>
      </c>
      <c r="F519" s="3" t="str">
        <f t="shared" si="66"/>
        <v/>
      </c>
      <c r="G519" s="5" t="str">
        <f t="shared" si="67"/>
        <v/>
      </c>
      <c r="H519" s="36" t="str">
        <f t="shared" si="68"/>
        <v/>
      </c>
      <c r="I519" s="37" t="str">
        <f ca="1">+IF(A519 &lt;= $L$2, (Full_Report!C599-'Internal Working'!C519),"")</f>
        <v/>
      </c>
      <c r="J519" s="37" t="str">
        <f t="shared" ca="1" si="62"/>
        <v>0</v>
      </c>
      <c r="K519" s="35" t="str">
        <f t="shared" si="63"/>
        <v>0</v>
      </c>
      <c r="L519" s="35" t="str">
        <f t="shared" ref="L519:L582" si="69">+IF(A519 = "","",(J519+K519))</f>
        <v/>
      </c>
      <c r="M519" s="2"/>
    </row>
    <row r="520" spans="1:13" x14ac:dyDescent="0.25">
      <c r="A520" s="1" t="str">
        <f>IF(OR(A519="",F519=0,A519=Refinance_Calculator!$C$29),"",A519+1)</f>
        <v/>
      </c>
      <c r="B520" s="3" t="str">
        <f t="shared" si="64"/>
        <v/>
      </c>
      <c r="C520" s="3" t="str">
        <f>IF(A520="","",(-PMT(Refinance_Calculator!$C$26/12,Refinance_Calculator!$C$29,Refinance_Calculator!$C$23,0,0)))</f>
        <v/>
      </c>
      <c r="D520" s="3" t="str">
        <f t="shared" si="65"/>
        <v/>
      </c>
      <c r="E520" s="3" t="str">
        <f>IF(A520="","",(-PPMT(Refinance_Calculator!$C$26/12,'Internal Working'!A520,Refinance_Calculator!$C$29,Refinance_Calculator!$C$23,0,0)))</f>
        <v/>
      </c>
      <c r="F520" s="3" t="str">
        <f t="shared" si="66"/>
        <v/>
      </c>
      <c r="G520" s="5" t="str">
        <f t="shared" si="67"/>
        <v/>
      </c>
      <c r="H520" s="36" t="str">
        <f t="shared" si="68"/>
        <v/>
      </c>
      <c r="I520" s="37" t="str">
        <f ca="1">+IF(A520 &lt;= $L$2, (Full_Report!C600-'Internal Working'!C520),"")</f>
        <v/>
      </c>
      <c r="J520" s="37" t="str">
        <f t="shared" ref="J520:J583" ca="1" si="70">IF(I520="","0",(I520+J519))</f>
        <v>0</v>
      </c>
      <c r="K520" s="35" t="str">
        <f t="shared" ref="K520:K583" si="71">+IF(A520="","0",IF(A520&gt;$L$2,(K519-C520),"0"))</f>
        <v>0</v>
      </c>
      <c r="L520" s="35" t="str">
        <f t="shared" si="69"/>
        <v/>
      </c>
      <c r="M520" s="2"/>
    </row>
    <row r="521" spans="1:13" x14ac:dyDescent="0.25">
      <c r="A521" s="1" t="str">
        <f>IF(OR(A520="",F520=0,A520=Refinance_Calculator!$C$29),"",A520+1)</f>
        <v/>
      </c>
      <c r="B521" s="3" t="str">
        <f t="shared" si="64"/>
        <v/>
      </c>
      <c r="C521" s="3" t="str">
        <f>IF(A521="","",(-PMT(Refinance_Calculator!$C$26/12,Refinance_Calculator!$C$29,Refinance_Calculator!$C$23,0,0)))</f>
        <v/>
      </c>
      <c r="D521" s="3" t="str">
        <f t="shared" si="65"/>
        <v/>
      </c>
      <c r="E521" s="3" t="str">
        <f>IF(A521="","",(-PPMT(Refinance_Calculator!$C$26/12,'Internal Working'!A521,Refinance_Calculator!$C$29,Refinance_Calculator!$C$23,0,0)))</f>
        <v/>
      </c>
      <c r="F521" s="3" t="str">
        <f t="shared" si="66"/>
        <v/>
      </c>
      <c r="G521" s="5" t="str">
        <f t="shared" si="67"/>
        <v/>
      </c>
      <c r="H521" s="36" t="str">
        <f t="shared" si="68"/>
        <v/>
      </c>
      <c r="I521" s="37" t="str">
        <f ca="1">+IF(A521 &lt;= $L$2, (Full_Report!C601-'Internal Working'!C521),"")</f>
        <v/>
      </c>
      <c r="J521" s="37" t="str">
        <f t="shared" ca="1" si="70"/>
        <v>0</v>
      </c>
      <c r="K521" s="35" t="str">
        <f t="shared" si="71"/>
        <v>0</v>
      </c>
      <c r="L521" s="35" t="str">
        <f t="shared" si="69"/>
        <v/>
      </c>
      <c r="M521" s="2"/>
    </row>
    <row r="522" spans="1:13" x14ac:dyDescent="0.25">
      <c r="A522" s="1" t="str">
        <f>IF(OR(A521="",F521=0,A521=Refinance_Calculator!$C$29),"",A521+1)</f>
        <v/>
      </c>
      <c r="B522" s="3" t="str">
        <f t="shared" si="64"/>
        <v/>
      </c>
      <c r="C522" s="3" t="str">
        <f>IF(A522="","",(-PMT(Refinance_Calculator!$C$26/12,Refinance_Calculator!$C$29,Refinance_Calculator!$C$23,0,0)))</f>
        <v/>
      </c>
      <c r="D522" s="3" t="str">
        <f t="shared" si="65"/>
        <v/>
      </c>
      <c r="E522" s="3" t="str">
        <f>IF(A522="","",(-PPMT(Refinance_Calculator!$C$26/12,'Internal Working'!A522,Refinance_Calculator!$C$29,Refinance_Calculator!$C$23,0,0)))</f>
        <v/>
      </c>
      <c r="F522" s="3" t="str">
        <f t="shared" si="66"/>
        <v/>
      </c>
      <c r="G522" s="5" t="str">
        <f t="shared" si="67"/>
        <v/>
      </c>
      <c r="H522" s="36" t="str">
        <f t="shared" si="68"/>
        <v/>
      </c>
      <c r="I522" s="37" t="str">
        <f ca="1">+IF(A522 &lt;= $L$2, (Full_Report!C602-'Internal Working'!C522),"")</f>
        <v/>
      </c>
      <c r="J522" s="37" t="str">
        <f t="shared" ca="1" si="70"/>
        <v>0</v>
      </c>
      <c r="K522" s="35" t="str">
        <f t="shared" si="71"/>
        <v>0</v>
      </c>
      <c r="L522" s="35" t="str">
        <f t="shared" si="69"/>
        <v/>
      </c>
      <c r="M522" s="2"/>
    </row>
    <row r="523" spans="1:13" x14ac:dyDescent="0.25">
      <c r="A523" s="1" t="str">
        <f>IF(OR(A522="",F522=0,A522=Refinance_Calculator!$C$29),"",A522+1)</f>
        <v/>
      </c>
      <c r="B523" s="3" t="str">
        <f t="shared" si="64"/>
        <v/>
      </c>
      <c r="C523" s="3" t="str">
        <f>IF(A523="","",(-PMT(Refinance_Calculator!$C$26/12,Refinance_Calculator!$C$29,Refinance_Calculator!$C$23,0,0)))</f>
        <v/>
      </c>
      <c r="D523" s="3" t="str">
        <f t="shared" si="65"/>
        <v/>
      </c>
      <c r="E523" s="3" t="str">
        <f>IF(A523="","",(-PPMT(Refinance_Calculator!$C$26/12,'Internal Working'!A523,Refinance_Calculator!$C$29,Refinance_Calculator!$C$23,0,0)))</f>
        <v/>
      </c>
      <c r="F523" s="3" t="str">
        <f t="shared" si="66"/>
        <v/>
      </c>
      <c r="G523" s="5" t="str">
        <f t="shared" si="67"/>
        <v/>
      </c>
      <c r="H523" s="36" t="str">
        <f t="shared" si="68"/>
        <v/>
      </c>
      <c r="I523" s="37" t="str">
        <f ca="1">+IF(A523 &lt;= $L$2, (Full_Report!C603-'Internal Working'!C523),"")</f>
        <v/>
      </c>
      <c r="J523" s="37" t="str">
        <f t="shared" ca="1" si="70"/>
        <v>0</v>
      </c>
      <c r="K523" s="35" t="str">
        <f t="shared" si="71"/>
        <v>0</v>
      </c>
      <c r="L523" s="35" t="str">
        <f t="shared" si="69"/>
        <v/>
      </c>
      <c r="M523" s="2"/>
    </row>
    <row r="524" spans="1:13" x14ac:dyDescent="0.25">
      <c r="A524" s="1" t="str">
        <f>IF(OR(A523="",F523=0,A523=Refinance_Calculator!$C$29),"",A523+1)</f>
        <v/>
      </c>
      <c r="B524" s="3" t="str">
        <f t="shared" si="64"/>
        <v/>
      </c>
      <c r="C524" s="3" t="str">
        <f>IF(A524="","",(-PMT(Refinance_Calculator!$C$26/12,Refinance_Calculator!$C$29,Refinance_Calculator!$C$23,0,0)))</f>
        <v/>
      </c>
      <c r="D524" s="3" t="str">
        <f t="shared" si="65"/>
        <v/>
      </c>
      <c r="E524" s="3" t="str">
        <f>IF(A524="","",(-PPMT(Refinance_Calculator!$C$26/12,'Internal Working'!A524,Refinance_Calculator!$C$29,Refinance_Calculator!$C$23,0,0)))</f>
        <v/>
      </c>
      <c r="F524" s="3" t="str">
        <f t="shared" si="66"/>
        <v/>
      </c>
      <c r="G524" s="5" t="str">
        <f t="shared" si="67"/>
        <v/>
      </c>
      <c r="H524" s="36" t="str">
        <f t="shared" si="68"/>
        <v/>
      </c>
      <c r="I524" s="37" t="str">
        <f ca="1">+IF(A524 &lt;= $L$2, (Full_Report!C604-'Internal Working'!C524),"")</f>
        <v/>
      </c>
      <c r="J524" s="37" t="str">
        <f t="shared" ca="1" si="70"/>
        <v>0</v>
      </c>
      <c r="K524" s="35" t="str">
        <f t="shared" si="71"/>
        <v>0</v>
      </c>
      <c r="L524" s="35" t="str">
        <f t="shared" si="69"/>
        <v/>
      </c>
      <c r="M524" s="2"/>
    </row>
    <row r="525" spans="1:13" x14ac:dyDescent="0.25">
      <c r="A525" s="1" t="str">
        <f>IF(OR(A524="",F524=0,A524=Refinance_Calculator!$C$29),"",A524+1)</f>
        <v/>
      </c>
      <c r="B525" s="3" t="str">
        <f t="shared" si="64"/>
        <v/>
      </c>
      <c r="C525" s="3" t="str">
        <f>IF(A525="","",(-PMT(Refinance_Calculator!$C$26/12,Refinance_Calculator!$C$29,Refinance_Calculator!$C$23,0,0)))</f>
        <v/>
      </c>
      <c r="D525" s="3" t="str">
        <f t="shared" si="65"/>
        <v/>
      </c>
      <c r="E525" s="3" t="str">
        <f>IF(A525="","",(-PPMT(Refinance_Calculator!$C$26/12,'Internal Working'!A525,Refinance_Calculator!$C$29,Refinance_Calculator!$C$23,0,0)))</f>
        <v/>
      </c>
      <c r="F525" s="3" t="str">
        <f t="shared" si="66"/>
        <v/>
      </c>
      <c r="G525" s="5" t="str">
        <f t="shared" si="67"/>
        <v/>
      </c>
      <c r="H525" s="36" t="str">
        <f t="shared" si="68"/>
        <v/>
      </c>
      <c r="I525" s="37" t="str">
        <f ca="1">+IF(A525 &lt;= $L$2, (Full_Report!C605-'Internal Working'!C525),"")</f>
        <v/>
      </c>
      <c r="J525" s="37" t="str">
        <f t="shared" ca="1" si="70"/>
        <v>0</v>
      </c>
      <c r="K525" s="35" t="str">
        <f t="shared" si="71"/>
        <v>0</v>
      </c>
      <c r="L525" s="35" t="str">
        <f t="shared" si="69"/>
        <v/>
      </c>
      <c r="M525" s="2"/>
    </row>
    <row r="526" spans="1:13" x14ac:dyDescent="0.25">
      <c r="A526" s="1" t="str">
        <f>IF(OR(A525="",F525=0,A525=Refinance_Calculator!$C$29),"",A525+1)</f>
        <v/>
      </c>
      <c r="B526" s="3" t="str">
        <f t="shared" si="64"/>
        <v/>
      </c>
      <c r="C526" s="3" t="str">
        <f>IF(A526="","",(-PMT(Refinance_Calculator!$C$26/12,Refinance_Calculator!$C$29,Refinance_Calculator!$C$23,0,0)))</f>
        <v/>
      </c>
      <c r="D526" s="3" t="str">
        <f t="shared" si="65"/>
        <v/>
      </c>
      <c r="E526" s="3" t="str">
        <f>IF(A526="","",(-PPMT(Refinance_Calculator!$C$26/12,'Internal Working'!A526,Refinance_Calculator!$C$29,Refinance_Calculator!$C$23,0,0)))</f>
        <v/>
      </c>
      <c r="F526" s="3" t="str">
        <f t="shared" si="66"/>
        <v/>
      </c>
      <c r="G526" s="5" t="str">
        <f t="shared" si="67"/>
        <v/>
      </c>
      <c r="H526" s="36" t="str">
        <f t="shared" si="68"/>
        <v/>
      </c>
      <c r="I526" s="37" t="str">
        <f ca="1">+IF(A526 &lt;= $L$2, (Full_Report!C606-'Internal Working'!C526),"")</f>
        <v/>
      </c>
      <c r="J526" s="37" t="str">
        <f t="shared" ca="1" si="70"/>
        <v>0</v>
      </c>
      <c r="K526" s="35" t="str">
        <f t="shared" si="71"/>
        <v>0</v>
      </c>
      <c r="L526" s="35" t="str">
        <f t="shared" si="69"/>
        <v/>
      </c>
      <c r="M526" s="2"/>
    </row>
    <row r="527" spans="1:13" x14ac:dyDescent="0.25">
      <c r="A527" s="1" t="str">
        <f>IF(OR(A526="",F526=0,A526=Refinance_Calculator!$C$29),"",A526+1)</f>
        <v/>
      </c>
      <c r="B527" s="3" t="str">
        <f t="shared" si="64"/>
        <v/>
      </c>
      <c r="C527" s="3" t="str">
        <f>IF(A527="","",(-PMT(Refinance_Calculator!$C$26/12,Refinance_Calculator!$C$29,Refinance_Calculator!$C$23,0,0)))</f>
        <v/>
      </c>
      <c r="D527" s="3" t="str">
        <f t="shared" si="65"/>
        <v/>
      </c>
      <c r="E527" s="3" t="str">
        <f>IF(A527="","",(-PPMT(Refinance_Calculator!$C$26/12,'Internal Working'!A527,Refinance_Calculator!$C$29,Refinance_Calculator!$C$23,0,0)))</f>
        <v/>
      </c>
      <c r="F527" s="3" t="str">
        <f t="shared" si="66"/>
        <v/>
      </c>
      <c r="G527" s="5" t="str">
        <f t="shared" si="67"/>
        <v/>
      </c>
      <c r="H527" s="36" t="str">
        <f t="shared" si="68"/>
        <v/>
      </c>
      <c r="I527" s="37" t="str">
        <f ca="1">+IF(A527 &lt;= $L$2, (Full_Report!C607-'Internal Working'!C527),"")</f>
        <v/>
      </c>
      <c r="J527" s="37" t="str">
        <f t="shared" ca="1" si="70"/>
        <v>0</v>
      </c>
      <c r="K527" s="35" t="str">
        <f t="shared" si="71"/>
        <v>0</v>
      </c>
      <c r="L527" s="35" t="str">
        <f t="shared" si="69"/>
        <v/>
      </c>
      <c r="M527" s="2"/>
    </row>
    <row r="528" spans="1:13" x14ac:dyDescent="0.25">
      <c r="A528" s="1" t="str">
        <f>IF(OR(A527="",F527=0,A527=Refinance_Calculator!$C$29),"",A527+1)</f>
        <v/>
      </c>
      <c r="B528" s="3" t="str">
        <f t="shared" si="64"/>
        <v/>
      </c>
      <c r="C528" s="3" t="str">
        <f>IF(A528="","",(-PMT(Refinance_Calculator!$C$26/12,Refinance_Calculator!$C$29,Refinance_Calculator!$C$23,0,0)))</f>
        <v/>
      </c>
      <c r="D528" s="3" t="str">
        <f t="shared" si="65"/>
        <v/>
      </c>
      <c r="E528" s="3" t="str">
        <f>IF(A528="","",(-PPMT(Refinance_Calculator!$C$26/12,'Internal Working'!A528,Refinance_Calculator!$C$29,Refinance_Calculator!$C$23,0,0)))</f>
        <v/>
      </c>
      <c r="F528" s="3" t="str">
        <f t="shared" si="66"/>
        <v/>
      </c>
      <c r="G528" s="5" t="str">
        <f t="shared" si="67"/>
        <v/>
      </c>
      <c r="H528" s="36" t="str">
        <f t="shared" si="68"/>
        <v/>
      </c>
      <c r="I528" s="37" t="str">
        <f ca="1">+IF(A528 &lt;= $L$2, (Full_Report!C608-'Internal Working'!C528),"")</f>
        <v/>
      </c>
      <c r="J528" s="37" t="str">
        <f t="shared" ca="1" si="70"/>
        <v>0</v>
      </c>
      <c r="K528" s="35" t="str">
        <f t="shared" si="71"/>
        <v>0</v>
      </c>
      <c r="L528" s="35" t="str">
        <f t="shared" si="69"/>
        <v/>
      </c>
      <c r="M528" s="2"/>
    </row>
    <row r="529" spans="1:13" x14ac:dyDescent="0.25">
      <c r="A529" s="1" t="str">
        <f>IF(OR(A528="",F528=0,A528=Refinance_Calculator!$C$29),"",A528+1)</f>
        <v/>
      </c>
      <c r="B529" s="3" t="str">
        <f t="shared" si="64"/>
        <v/>
      </c>
      <c r="C529" s="3" t="str">
        <f>IF(A529="","",(-PMT(Refinance_Calculator!$C$26/12,Refinance_Calculator!$C$29,Refinance_Calculator!$C$23,0,0)))</f>
        <v/>
      </c>
      <c r="D529" s="3" t="str">
        <f t="shared" si="65"/>
        <v/>
      </c>
      <c r="E529" s="3" t="str">
        <f>IF(A529="","",(-PPMT(Refinance_Calculator!$C$26/12,'Internal Working'!A529,Refinance_Calculator!$C$29,Refinance_Calculator!$C$23,0,0)))</f>
        <v/>
      </c>
      <c r="F529" s="3" t="str">
        <f t="shared" si="66"/>
        <v/>
      </c>
      <c r="G529" s="5" t="str">
        <f t="shared" si="67"/>
        <v/>
      </c>
      <c r="H529" s="36" t="str">
        <f t="shared" si="68"/>
        <v/>
      </c>
      <c r="I529" s="37" t="str">
        <f ca="1">+IF(A529 &lt;= $L$2, (Full_Report!C609-'Internal Working'!C529),"")</f>
        <v/>
      </c>
      <c r="J529" s="37" t="str">
        <f t="shared" ca="1" si="70"/>
        <v>0</v>
      </c>
      <c r="K529" s="35" t="str">
        <f t="shared" si="71"/>
        <v>0</v>
      </c>
      <c r="L529" s="35" t="str">
        <f t="shared" si="69"/>
        <v/>
      </c>
      <c r="M529" s="2"/>
    </row>
    <row r="530" spans="1:13" x14ac:dyDescent="0.25">
      <c r="A530" s="1" t="str">
        <f>IF(OR(A529="",F529=0,A529=Refinance_Calculator!$C$29),"",A529+1)</f>
        <v/>
      </c>
      <c r="B530" s="3" t="str">
        <f t="shared" ref="B530:B593" si="72">IF(A530="","",(F529))</f>
        <v/>
      </c>
      <c r="C530" s="3" t="str">
        <f>IF(A530="","",(-PMT(Refinance_Calculator!$C$26/12,Refinance_Calculator!$C$29,Refinance_Calculator!$C$23,0,0)))</f>
        <v/>
      </c>
      <c r="D530" s="3" t="str">
        <f t="shared" ref="D530:D593" si="73">+IF(A530="","",(C530-E530))</f>
        <v/>
      </c>
      <c r="E530" s="3" t="str">
        <f>IF(A530="","",(-PPMT(Refinance_Calculator!$C$26/12,'Internal Working'!A530,Refinance_Calculator!$C$29,Refinance_Calculator!$C$23,0,0)))</f>
        <v/>
      </c>
      <c r="F530" s="3" t="str">
        <f t="shared" ref="F530:F593" si="74">+IF(A530="","",(B530-E530))</f>
        <v/>
      </c>
      <c r="G530" s="5" t="str">
        <f t="shared" ref="G530:G593" si="75">+E530</f>
        <v/>
      </c>
      <c r="H530" s="36" t="str">
        <f t="shared" ref="H530:H593" si="76">+D530</f>
        <v/>
      </c>
      <c r="I530" s="37" t="str">
        <f ca="1">+IF(A530 &lt;= $L$2, (Full_Report!C610-'Internal Working'!C530),"")</f>
        <v/>
      </c>
      <c r="J530" s="37" t="str">
        <f t="shared" ca="1" si="70"/>
        <v>0</v>
      </c>
      <c r="K530" s="35" t="str">
        <f t="shared" si="71"/>
        <v>0</v>
      </c>
      <c r="L530" s="35" t="str">
        <f t="shared" si="69"/>
        <v/>
      </c>
      <c r="M530" s="2"/>
    </row>
    <row r="531" spans="1:13" x14ac:dyDescent="0.25">
      <c r="A531" s="1" t="str">
        <f>IF(OR(A530="",F530=0,A530=Refinance_Calculator!$C$29),"",A530+1)</f>
        <v/>
      </c>
      <c r="B531" s="3" t="str">
        <f t="shared" si="72"/>
        <v/>
      </c>
      <c r="C531" s="3" t="str">
        <f>IF(A531="","",(-PMT(Refinance_Calculator!$C$26/12,Refinance_Calculator!$C$29,Refinance_Calculator!$C$23,0,0)))</f>
        <v/>
      </c>
      <c r="D531" s="3" t="str">
        <f t="shared" si="73"/>
        <v/>
      </c>
      <c r="E531" s="3" t="str">
        <f>IF(A531="","",(-PPMT(Refinance_Calculator!$C$26/12,'Internal Working'!A531,Refinance_Calculator!$C$29,Refinance_Calculator!$C$23,0,0)))</f>
        <v/>
      </c>
      <c r="F531" s="3" t="str">
        <f t="shared" si="74"/>
        <v/>
      </c>
      <c r="G531" s="5" t="str">
        <f t="shared" si="75"/>
        <v/>
      </c>
      <c r="H531" s="36" t="str">
        <f t="shared" si="76"/>
        <v/>
      </c>
      <c r="I531" s="37" t="str">
        <f ca="1">+IF(A531 &lt;= $L$2, (Full_Report!C611-'Internal Working'!C531),"")</f>
        <v/>
      </c>
      <c r="J531" s="37" t="str">
        <f t="shared" ca="1" si="70"/>
        <v>0</v>
      </c>
      <c r="K531" s="35" t="str">
        <f t="shared" si="71"/>
        <v>0</v>
      </c>
      <c r="L531" s="35" t="str">
        <f t="shared" si="69"/>
        <v/>
      </c>
      <c r="M531" s="2"/>
    </row>
    <row r="532" spans="1:13" x14ac:dyDescent="0.25">
      <c r="A532" s="1" t="str">
        <f>IF(OR(A531="",F531=0,A531=Refinance_Calculator!$C$29),"",A531+1)</f>
        <v/>
      </c>
      <c r="B532" s="3" t="str">
        <f t="shared" si="72"/>
        <v/>
      </c>
      <c r="C532" s="3" t="str">
        <f>IF(A532="","",(-PMT(Refinance_Calculator!$C$26/12,Refinance_Calculator!$C$29,Refinance_Calculator!$C$23,0,0)))</f>
        <v/>
      </c>
      <c r="D532" s="3" t="str">
        <f t="shared" si="73"/>
        <v/>
      </c>
      <c r="E532" s="3" t="str">
        <f>IF(A532="","",(-PPMT(Refinance_Calculator!$C$26/12,'Internal Working'!A532,Refinance_Calculator!$C$29,Refinance_Calculator!$C$23,0,0)))</f>
        <v/>
      </c>
      <c r="F532" s="3" t="str">
        <f t="shared" si="74"/>
        <v/>
      </c>
      <c r="G532" s="5" t="str">
        <f t="shared" si="75"/>
        <v/>
      </c>
      <c r="H532" s="36" t="str">
        <f t="shared" si="76"/>
        <v/>
      </c>
      <c r="I532" s="37" t="str">
        <f ca="1">+IF(A532 &lt;= $L$2, (Full_Report!C612-'Internal Working'!C532),"")</f>
        <v/>
      </c>
      <c r="J532" s="37" t="str">
        <f t="shared" ca="1" si="70"/>
        <v>0</v>
      </c>
      <c r="K532" s="35" t="str">
        <f t="shared" si="71"/>
        <v>0</v>
      </c>
      <c r="L532" s="35" t="str">
        <f t="shared" si="69"/>
        <v/>
      </c>
      <c r="M532" s="2"/>
    </row>
    <row r="533" spans="1:13" x14ac:dyDescent="0.25">
      <c r="A533" s="1" t="str">
        <f>IF(OR(A532="",F532=0,A532=Refinance_Calculator!$C$29),"",A532+1)</f>
        <v/>
      </c>
      <c r="B533" s="3" t="str">
        <f t="shared" si="72"/>
        <v/>
      </c>
      <c r="C533" s="3" t="str">
        <f>IF(A533="","",(-PMT(Refinance_Calculator!$C$26/12,Refinance_Calculator!$C$29,Refinance_Calculator!$C$23,0,0)))</f>
        <v/>
      </c>
      <c r="D533" s="3" t="str">
        <f t="shared" si="73"/>
        <v/>
      </c>
      <c r="E533" s="3" t="str">
        <f>IF(A533="","",(-PPMT(Refinance_Calculator!$C$26/12,'Internal Working'!A533,Refinance_Calculator!$C$29,Refinance_Calculator!$C$23,0,0)))</f>
        <v/>
      </c>
      <c r="F533" s="3" t="str">
        <f t="shared" si="74"/>
        <v/>
      </c>
      <c r="G533" s="5" t="str">
        <f t="shared" si="75"/>
        <v/>
      </c>
      <c r="H533" s="36" t="str">
        <f t="shared" si="76"/>
        <v/>
      </c>
      <c r="I533" s="37" t="str">
        <f ca="1">+IF(A533 &lt;= $L$2, (Full_Report!C613-'Internal Working'!C533),"")</f>
        <v/>
      </c>
      <c r="J533" s="37" t="str">
        <f t="shared" ca="1" si="70"/>
        <v>0</v>
      </c>
      <c r="K533" s="35" t="str">
        <f t="shared" si="71"/>
        <v>0</v>
      </c>
      <c r="L533" s="35" t="str">
        <f t="shared" si="69"/>
        <v/>
      </c>
      <c r="M533" s="2"/>
    </row>
    <row r="534" spans="1:13" x14ac:dyDescent="0.25">
      <c r="A534" s="1" t="str">
        <f>IF(OR(A533="",F533=0,A533=Refinance_Calculator!$C$29),"",A533+1)</f>
        <v/>
      </c>
      <c r="B534" s="3" t="str">
        <f t="shared" si="72"/>
        <v/>
      </c>
      <c r="C534" s="3" t="str">
        <f>IF(A534="","",(-PMT(Refinance_Calculator!$C$26/12,Refinance_Calculator!$C$29,Refinance_Calculator!$C$23,0,0)))</f>
        <v/>
      </c>
      <c r="D534" s="3" t="str">
        <f t="shared" si="73"/>
        <v/>
      </c>
      <c r="E534" s="3" t="str">
        <f>IF(A534="","",(-PPMT(Refinance_Calculator!$C$26/12,'Internal Working'!A534,Refinance_Calculator!$C$29,Refinance_Calculator!$C$23,0,0)))</f>
        <v/>
      </c>
      <c r="F534" s="3" t="str">
        <f t="shared" si="74"/>
        <v/>
      </c>
      <c r="G534" s="5" t="str">
        <f t="shared" si="75"/>
        <v/>
      </c>
      <c r="H534" s="36" t="str">
        <f t="shared" si="76"/>
        <v/>
      </c>
      <c r="I534" s="37" t="str">
        <f ca="1">+IF(A534 &lt;= $L$2, (Full_Report!C614-'Internal Working'!C534),"")</f>
        <v/>
      </c>
      <c r="J534" s="37" t="str">
        <f t="shared" ca="1" si="70"/>
        <v>0</v>
      </c>
      <c r="K534" s="35" t="str">
        <f t="shared" si="71"/>
        <v>0</v>
      </c>
      <c r="L534" s="35" t="str">
        <f t="shared" si="69"/>
        <v/>
      </c>
      <c r="M534" s="2"/>
    </row>
    <row r="535" spans="1:13" x14ac:dyDescent="0.25">
      <c r="A535" s="1" t="str">
        <f>IF(OR(A534="",F534=0,A534=Refinance_Calculator!$C$29),"",A534+1)</f>
        <v/>
      </c>
      <c r="B535" s="3" t="str">
        <f t="shared" si="72"/>
        <v/>
      </c>
      <c r="C535" s="3" t="str">
        <f>IF(A535="","",(-PMT(Refinance_Calculator!$C$26/12,Refinance_Calculator!$C$29,Refinance_Calculator!$C$23,0,0)))</f>
        <v/>
      </c>
      <c r="D535" s="3" t="str">
        <f t="shared" si="73"/>
        <v/>
      </c>
      <c r="E535" s="3" t="str">
        <f>IF(A535="","",(-PPMT(Refinance_Calculator!$C$26/12,'Internal Working'!A535,Refinance_Calculator!$C$29,Refinance_Calculator!$C$23,0,0)))</f>
        <v/>
      </c>
      <c r="F535" s="3" t="str">
        <f t="shared" si="74"/>
        <v/>
      </c>
      <c r="G535" s="5" t="str">
        <f t="shared" si="75"/>
        <v/>
      </c>
      <c r="H535" s="36" t="str">
        <f t="shared" si="76"/>
        <v/>
      </c>
      <c r="I535" s="37" t="str">
        <f ca="1">+IF(A535 &lt;= $L$2, (Full_Report!C615-'Internal Working'!C535),"")</f>
        <v/>
      </c>
      <c r="J535" s="37" t="str">
        <f t="shared" ca="1" si="70"/>
        <v>0</v>
      </c>
      <c r="K535" s="35" t="str">
        <f t="shared" si="71"/>
        <v>0</v>
      </c>
      <c r="L535" s="35" t="str">
        <f t="shared" si="69"/>
        <v/>
      </c>
      <c r="M535" s="2"/>
    </row>
    <row r="536" spans="1:13" x14ac:dyDescent="0.25">
      <c r="A536" s="1" t="str">
        <f>IF(OR(A535="",F535=0,A535=Refinance_Calculator!$C$29),"",A535+1)</f>
        <v/>
      </c>
      <c r="B536" s="3" t="str">
        <f t="shared" si="72"/>
        <v/>
      </c>
      <c r="C536" s="3" t="str">
        <f>IF(A536="","",(-PMT(Refinance_Calculator!$C$26/12,Refinance_Calculator!$C$29,Refinance_Calculator!$C$23,0,0)))</f>
        <v/>
      </c>
      <c r="D536" s="3" t="str">
        <f t="shared" si="73"/>
        <v/>
      </c>
      <c r="E536" s="3" t="str">
        <f>IF(A536="","",(-PPMT(Refinance_Calculator!$C$26/12,'Internal Working'!A536,Refinance_Calculator!$C$29,Refinance_Calculator!$C$23,0,0)))</f>
        <v/>
      </c>
      <c r="F536" s="3" t="str">
        <f t="shared" si="74"/>
        <v/>
      </c>
      <c r="G536" s="5" t="str">
        <f t="shared" si="75"/>
        <v/>
      </c>
      <c r="H536" s="36" t="str">
        <f t="shared" si="76"/>
        <v/>
      </c>
      <c r="I536" s="37" t="str">
        <f ca="1">+IF(A536 &lt;= $L$2, (Full_Report!C616-'Internal Working'!C536),"")</f>
        <v/>
      </c>
      <c r="J536" s="37" t="str">
        <f t="shared" ca="1" si="70"/>
        <v>0</v>
      </c>
      <c r="K536" s="35" t="str">
        <f t="shared" si="71"/>
        <v>0</v>
      </c>
      <c r="L536" s="35" t="str">
        <f t="shared" si="69"/>
        <v/>
      </c>
      <c r="M536" s="2"/>
    </row>
    <row r="537" spans="1:13" x14ac:dyDescent="0.25">
      <c r="A537" s="1" t="str">
        <f>IF(OR(A536="",F536=0,A536=Refinance_Calculator!$C$29),"",A536+1)</f>
        <v/>
      </c>
      <c r="B537" s="3" t="str">
        <f t="shared" si="72"/>
        <v/>
      </c>
      <c r="C537" s="3" t="str">
        <f>IF(A537="","",(-PMT(Refinance_Calculator!$C$26/12,Refinance_Calculator!$C$29,Refinance_Calculator!$C$23,0,0)))</f>
        <v/>
      </c>
      <c r="D537" s="3" t="str">
        <f t="shared" si="73"/>
        <v/>
      </c>
      <c r="E537" s="3" t="str">
        <f>IF(A537="","",(-PPMT(Refinance_Calculator!$C$26/12,'Internal Working'!A537,Refinance_Calculator!$C$29,Refinance_Calculator!$C$23,0,0)))</f>
        <v/>
      </c>
      <c r="F537" s="3" t="str">
        <f t="shared" si="74"/>
        <v/>
      </c>
      <c r="G537" s="5" t="str">
        <f t="shared" si="75"/>
        <v/>
      </c>
      <c r="H537" s="36" t="str">
        <f t="shared" si="76"/>
        <v/>
      </c>
      <c r="I537" s="37" t="str">
        <f ca="1">+IF(A537 &lt;= $L$2, (Full_Report!C617-'Internal Working'!C537),"")</f>
        <v/>
      </c>
      <c r="J537" s="37" t="str">
        <f t="shared" ca="1" si="70"/>
        <v>0</v>
      </c>
      <c r="K537" s="35" t="str">
        <f t="shared" si="71"/>
        <v>0</v>
      </c>
      <c r="L537" s="35" t="str">
        <f t="shared" si="69"/>
        <v/>
      </c>
      <c r="M537" s="2"/>
    </row>
    <row r="538" spans="1:13" x14ac:dyDescent="0.25">
      <c r="A538" s="1" t="str">
        <f>IF(OR(A537="",F537=0,A537=Refinance_Calculator!$C$29),"",A537+1)</f>
        <v/>
      </c>
      <c r="B538" s="3" t="str">
        <f t="shared" si="72"/>
        <v/>
      </c>
      <c r="C538" s="3" t="str">
        <f>IF(A538="","",(-PMT(Refinance_Calculator!$C$26/12,Refinance_Calculator!$C$29,Refinance_Calculator!$C$23,0,0)))</f>
        <v/>
      </c>
      <c r="D538" s="3" t="str">
        <f t="shared" si="73"/>
        <v/>
      </c>
      <c r="E538" s="3" t="str">
        <f>IF(A538="","",(-PPMT(Refinance_Calculator!$C$26/12,'Internal Working'!A538,Refinance_Calculator!$C$29,Refinance_Calculator!$C$23,0,0)))</f>
        <v/>
      </c>
      <c r="F538" s="3" t="str">
        <f t="shared" si="74"/>
        <v/>
      </c>
      <c r="G538" s="5" t="str">
        <f t="shared" si="75"/>
        <v/>
      </c>
      <c r="H538" s="36" t="str">
        <f t="shared" si="76"/>
        <v/>
      </c>
      <c r="I538" s="37" t="str">
        <f ca="1">+IF(A538 &lt;= $L$2, (Full_Report!C618-'Internal Working'!C538),"")</f>
        <v/>
      </c>
      <c r="J538" s="37" t="str">
        <f t="shared" ca="1" si="70"/>
        <v>0</v>
      </c>
      <c r="K538" s="35" t="str">
        <f t="shared" si="71"/>
        <v>0</v>
      </c>
      <c r="L538" s="35" t="str">
        <f t="shared" si="69"/>
        <v/>
      </c>
      <c r="M538" s="2"/>
    </row>
    <row r="539" spans="1:13" x14ac:dyDescent="0.25">
      <c r="A539" s="1" t="str">
        <f>IF(OR(A538="",F538=0,A538=Refinance_Calculator!$C$29),"",A538+1)</f>
        <v/>
      </c>
      <c r="B539" s="3" t="str">
        <f t="shared" si="72"/>
        <v/>
      </c>
      <c r="C539" s="3" t="str">
        <f>IF(A539="","",(-PMT(Refinance_Calculator!$C$26/12,Refinance_Calculator!$C$29,Refinance_Calculator!$C$23,0,0)))</f>
        <v/>
      </c>
      <c r="D539" s="3" t="str">
        <f t="shared" si="73"/>
        <v/>
      </c>
      <c r="E539" s="3" t="str">
        <f>IF(A539="","",(-PPMT(Refinance_Calculator!$C$26/12,'Internal Working'!A539,Refinance_Calculator!$C$29,Refinance_Calculator!$C$23,0,0)))</f>
        <v/>
      </c>
      <c r="F539" s="3" t="str">
        <f t="shared" si="74"/>
        <v/>
      </c>
      <c r="G539" s="5" t="str">
        <f t="shared" si="75"/>
        <v/>
      </c>
      <c r="H539" s="36" t="str">
        <f t="shared" si="76"/>
        <v/>
      </c>
      <c r="I539" s="37" t="str">
        <f ca="1">+IF(A539 &lt;= $L$2, (Full_Report!C619-'Internal Working'!C539),"")</f>
        <v/>
      </c>
      <c r="J539" s="37" t="str">
        <f t="shared" ca="1" si="70"/>
        <v>0</v>
      </c>
      <c r="K539" s="35" t="str">
        <f t="shared" si="71"/>
        <v>0</v>
      </c>
      <c r="L539" s="35" t="str">
        <f t="shared" si="69"/>
        <v/>
      </c>
      <c r="M539" s="2"/>
    </row>
    <row r="540" spans="1:13" x14ac:dyDescent="0.25">
      <c r="A540" s="1" t="str">
        <f>IF(OR(A539="",F539=0,A539=Refinance_Calculator!$C$29),"",A539+1)</f>
        <v/>
      </c>
      <c r="B540" s="3" t="str">
        <f t="shared" si="72"/>
        <v/>
      </c>
      <c r="C540" s="3" t="str">
        <f>IF(A540="","",(-PMT(Refinance_Calculator!$C$26/12,Refinance_Calculator!$C$29,Refinance_Calculator!$C$23,0,0)))</f>
        <v/>
      </c>
      <c r="D540" s="3" t="str">
        <f t="shared" si="73"/>
        <v/>
      </c>
      <c r="E540" s="3" t="str">
        <f>IF(A540="","",(-PPMT(Refinance_Calculator!$C$26/12,'Internal Working'!A540,Refinance_Calculator!$C$29,Refinance_Calculator!$C$23,0,0)))</f>
        <v/>
      </c>
      <c r="F540" s="3" t="str">
        <f t="shared" si="74"/>
        <v/>
      </c>
      <c r="G540" s="5" t="str">
        <f t="shared" si="75"/>
        <v/>
      </c>
      <c r="H540" s="36" t="str">
        <f t="shared" si="76"/>
        <v/>
      </c>
      <c r="I540" s="37" t="str">
        <f ca="1">+IF(A540 &lt;= $L$2, (Full_Report!C620-'Internal Working'!C540),"")</f>
        <v/>
      </c>
      <c r="J540" s="37" t="str">
        <f t="shared" ca="1" si="70"/>
        <v>0</v>
      </c>
      <c r="K540" s="35" t="str">
        <f t="shared" si="71"/>
        <v>0</v>
      </c>
      <c r="L540" s="35" t="str">
        <f t="shared" si="69"/>
        <v/>
      </c>
      <c r="M540" s="2"/>
    </row>
    <row r="541" spans="1:13" x14ac:dyDescent="0.25">
      <c r="A541" s="1" t="str">
        <f>IF(OR(A540="",F540=0,A540=Refinance_Calculator!$C$29),"",A540+1)</f>
        <v/>
      </c>
      <c r="B541" s="3" t="str">
        <f t="shared" si="72"/>
        <v/>
      </c>
      <c r="C541" s="3" t="str">
        <f>IF(A541="","",(-PMT(Refinance_Calculator!$C$26/12,Refinance_Calculator!$C$29,Refinance_Calculator!$C$23,0,0)))</f>
        <v/>
      </c>
      <c r="D541" s="3" t="str">
        <f t="shared" si="73"/>
        <v/>
      </c>
      <c r="E541" s="3" t="str">
        <f>IF(A541="","",(-PPMT(Refinance_Calculator!$C$26/12,'Internal Working'!A541,Refinance_Calculator!$C$29,Refinance_Calculator!$C$23,0,0)))</f>
        <v/>
      </c>
      <c r="F541" s="3" t="str">
        <f t="shared" si="74"/>
        <v/>
      </c>
      <c r="G541" s="5" t="str">
        <f t="shared" si="75"/>
        <v/>
      </c>
      <c r="H541" s="36" t="str">
        <f t="shared" si="76"/>
        <v/>
      </c>
      <c r="I541" s="37" t="str">
        <f ca="1">+IF(A541 &lt;= $L$2, (Full_Report!C621-'Internal Working'!C541),"")</f>
        <v/>
      </c>
      <c r="J541" s="37" t="str">
        <f t="shared" ca="1" si="70"/>
        <v>0</v>
      </c>
      <c r="K541" s="35" t="str">
        <f t="shared" si="71"/>
        <v>0</v>
      </c>
      <c r="L541" s="35" t="str">
        <f t="shared" si="69"/>
        <v/>
      </c>
      <c r="M541" s="2"/>
    </row>
    <row r="542" spans="1:13" x14ac:dyDescent="0.25">
      <c r="A542" s="1" t="str">
        <f>IF(OR(A541="",F541=0,A541=Refinance_Calculator!$C$29),"",A541+1)</f>
        <v/>
      </c>
      <c r="B542" s="3" t="str">
        <f t="shared" si="72"/>
        <v/>
      </c>
      <c r="C542" s="3" t="str">
        <f>IF(A542="","",(-PMT(Refinance_Calculator!$C$26/12,Refinance_Calculator!$C$29,Refinance_Calculator!$C$23,0,0)))</f>
        <v/>
      </c>
      <c r="D542" s="3" t="str">
        <f t="shared" si="73"/>
        <v/>
      </c>
      <c r="E542" s="3" t="str">
        <f>IF(A542="","",(-PPMT(Refinance_Calculator!$C$26/12,'Internal Working'!A542,Refinance_Calculator!$C$29,Refinance_Calculator!$C$23,0,0)))</f>
        <v/>
      </c>
      <c r="F542" s="3" t="str">
        <f t="shared" si="74"/>
        <v/>
      </c>
      <c r="G542" s="5" t="str">
        <f t="shared" si="75"/>
        <v/>
      </c>
      <c r="H542" s="36" t="str">
        <f t="shared" si="76"/>
        <v/>
      </c>
      <c r="I542" s="37" t="str">
        <f ca="1">+IF(A542 &lt;= $L$2, (Full_Report!C622-'Internal Working'!C542),"")</f>
        <v/>
      </c>
      <c r="J542" s="37" t="str">
        <f t="shared" ca="1" si="70"/>
        <v>0</v>
      </c>
      <c r="K542" s="35" t="str">
        <f t="shared" si="71"/>
        <v>0</v>
      </c>
      <c r="L542" s="35" t="str">
        <f t="shared" si="69"/>
        <v/>
      </c>
      <c r="M542" s="2"/>
    </row>
    <row r="543" spans="1:13" x14ac:dyDescent="0.25">
      <c r="A543" s="1" t="str">
        <f>IF(OR(A542="",F542=0,A542=Refinance_Calculator!$C$29),"",A542+1)</f>
        <v/>
      </c>
      <c r="B543" s="3" t="str">
        <f t="shared" si="72"/>
        <v/>
      </c>
      <c r="C543" s="3" t="str">
        <f>IF(A543="","",(-PMT(Refinance_Calculator!$C$26/12,Refinance_Calculator!$C$29,Refinance_Calculator!$C$23,0,0)))</f>
        <v/>
      </c>
      <c r="D543" s="3" t="str">
        <f t="shared" si="73"/>
        <v/>
      </c>
      <c r="E543" s="3" t="str">
        <f>IF(A543="","",(-PPMT(Refinance_Calculator!$C$26/12,'Internal Working'!A543,Refinance_Calculator!$C$29,Refinance_Calculator!$C$23,0,0)))</f>
        <v/>
      </c>
      <c r="F543" s="3" t="str">
        <f t="shared" si="74"/>
        <v/>
      </c>
      <c r="G543" s="5" t="str">
        <f t="shared" si="75"/>
        <v/>
      </c>
      <c r="H543" s="36" t="str">
        <f t="shared" si="76"/>
        <v/>
      </c>
      <c r="I543" s="37" t="str">
        <f ca="1">+IF(A543 &lt;= $L$2, (Full_Report!C623-'Internal Working'!C543),"")</f>
        <v/>
      </c>
      <c r="J543" s="37" t="str">
        <f t="shared" ca="1" si="70"/>
        <v>0</v>
      </c>
      <c r="K543" s="35" t="str">
        <f t="shared" si="71"/>
        <v>0</v>
      </c>
      <c r="L543" s="35" t="str">
        <f t="shared" si="69"/>
        <v/>
      </c>
      <c r="M543" s="2"/>
    </row>
    <row r="544" spans="1:13" x14ac:dyDescent="0.25">
      <c r="A544" s="1" t="str">
        <f>IF(OR(A543="",F543=0,A543=Refinance_Calculator!$C$29),"",A543+1)</f>
        <v/>
      </c>
      <c r="B544" s="3" t="str">
        <f t="shared" si="72"/>
        <v/>
      </c>
      <c r="C544" s="3" t="str">
        <f>IF(A544="","",(-PMT(Refinance_Calculator!$C$26/12,Refinance_Calculator!$C$29,Refinance_Calculator!$C$23,0,0)))</f>
        <v/>
      </c>
      <c r="D544" s="3" t="str">
        <f t="shared" si="73"/>
        <v/>
      </c>
      <c r="E544" s="3" t="str">
        <f>IF(A544="","",(-PPMT(Refinance_Calculator!$C$26/12,'Internal Working'!A544,Refinance_Calculator!$C$29,Refinance_Calculator!$C$23,0,0)))</f>
        <v/>
      </c>
      <c r="F544" s="3" t="str">
        <f t="shared" si="74"/>
        <v/>
      </c>
      <c r="G544" s="5" t="str">
        <f t="shared" si="75"/>
        <v/>
      </c>
      <c r="H544" s="36" t="str">
        <f t="shared" si="76"/>
        <v/>
      </c>
      <c r="I544" s="37" t="str">
        <f ca="1">+IF(A544 &lt;= $L$2, (Full_Report!C624-'Internal Working'!C544),"")</f>
        <v/>
      </c>
      <c r="J544" s="37" t="str">
        <f t="shared" ca="1" si="70"/>
        <v>0</v>
      </c>
      <c r="K544" s="35" t="str">
        <f t="shared" si="71"/>
        <v>0</v>
      </c>
      <c r="L544" s="35" t="str">
        <f t="shared" si="69"/>
        <v/>
      </c>
      <c r="M544" s="2"/>
    </row>
    <row r="545" spans="1:13" x14ac:dyDescent="0.25">
      <c r="A545" s="1" t="str">
        <f>IF(OR(A544="",F544=0,A544=Refinance_Calculator!$C$29),"",A544+1)</f>
        <v/>
      </c>
      <c r="B545" s="3" t="str">
        <f t="shared" si="72"/>
        <v/>
      </c>
      <c r="C545" s="3" t="str">
        <f>IF(A545="","",(-PMT(Refinance_Calculator!$C$26/12,Refinance_Calculator!$C$29,Refinance_Calculator!$C$23,0,0)))</f>
        <v/>
      </c>
      <c r="D545" s="3" t="str">
        <f t="shared" si="73"/>
        <v/>
      </c>
      <c r="E545" s="3" t="str">
        <f>IF(A545="","",(-PPMT(Refinance_Calculator!$C$26/12,'Internal Working'!A545,Refinance_Calculator!$C$29,Refinance_Calculator!$C$23,0,0)))</f>
        <v/>
      </c>
      <c r="F545" s="3" t="str">
        <f t="shared" si="74"/>
        <v/>
      </c>
      <c r="G545" s="5" t="str">
        <f t="shared" si="75"/>
        <v/>
      </c>
      <c r="H545" s="36" t="str">
        <f t="shared" si="76"/>
        <v/>
      </c>
      <c r="I545" s="37" t="str">
        <f ca="1">+IF(A545 &lt;= $L$2, (Full_Report!C625-'Internal Working'!C545),"")</f>
        <v/>
      </c>
      <c r="J545" s="37" t="str">
        <f t="shared" ca="1" si="70"/>
        <v>0</v>
      </c>
      <c r="K545" s="35" t="str">
        <f t="shared" si="71"/>
        <v>0</v>
      </c>
      <c r="L545" s="35" t="str">
        <f t="shared" si="69"/>
        <v/>
      </c>
      <c r="M545" s="2"/>
    </row>
    <row r="546" spans="1:13" x14ac:dyDescent="0.25">
      <c r="A546" s="1" t="str">
        <f>IF(OR(A545="",F545=0,A545=Refinance_Calculator!$C$29),"",A545+1)</f>
        <v/>
      </c>
      <c r="B546" s="3" t="str">
        <f t="shared" si="72"/>
        <v/>
      </c>
      <c r="C546" s="3" t="str">
        <f>IF(A546="","",(-PMT(Refinance_Calculator!$C$26/12,Refinance_Calculator!$C$29,Refinance_Calculator!$C$23,0,0)))</f>
        <v/>
      </c>
      <c r="D546" s="3" t="str">
        <f t="shared" si="73"/>
        <v/>
      </c>
      <c r="E546" s="3" t="str">
        <f>IF(A546="","",(-PPMT(Refinance_Calculator!$C$26/12,'Internal Working'!A546,Refinance_Calculator!$C$29,Refinance_Calculator!$C$23,0,0)))</f>
        <v/>
      </c>
      <c r="F546" s="3" t="str">
        <f t="shared" si="74"/>
        <v/>
      </c>
      <c r="G546" s="5" t="str">
        <f t="shared" si="75"/>
        <v/>
      </c>
      <c r="H546" s="36" t="str">
        <f t="shared" si="76"/>
        <v/>
      </c>
      <c r="I546" s="37" t="str">
        <f ca="1">+IF(A546 &lt;= $L$2, (Full_Report!C626-'Internal Working'!C546),"")</f>
        <v/>
      </c>
      <c r="J546" s="37" t="str">
        <f t="shared" ca="1" si="70"/>
        <v>0</v>
      </c>
      <c r="K546" s="35" t="str">
        <f t="shared" si="71"/>
        <v>0</v>
      </c>
      <c r="L546" s="35" t="str">
        <f t="shared" si="69"/>
        <v/>
      </c>
      <c r="M546" s="2"/>
    </row>
    <row r="547" spans="1:13" x14ac:dyDescent="0.25">
      <c r="A547" s="1" t="str">
        <f>IF(OR(A546="",F546=0,A546=Refinance_Calculator!$C$29),"",A546+1)</f>
        <v/>
      </c>
      <c r="B547" s="3" t="str">
        <f t="shared" si="72"/>
        <v/>
      </c>
      <c r="C547" s="3" t="str">
        <f>IF(A547="","",(-PMT(Refinance_Calculator!$C$26/12,Refinance_Calculator!$C$29,Refinance_Calculator!$C$23,0,0)))</f>
        <v/>
      </c>
      <c r="D547" s="3" t="str">
        <f t="shared" si="73"/>
        <v/>
      </c>
      <c r="E547" s="3" t="str">
        <f>IF(A547="","",(-PPMT(Refinance_Calculator!$C$26/12,'Internal Working'!A547,Refinance_Calculator!$C$29,Refinance_Calculator!$C$23,0,0)))</f>
        <v/>
      </c>
      <c r="F547" s="3" t="str">
        <f t="shared" si="74"/>
        <v/>
      </c>
      <c r="G547" s="5" t="str">
        <f t="shared" si="75"/>
        <v/>
      </c>
      <c r="H547" s="36" t="str">
        <f t="shared" si="76"/>
        <v/>
      </c>
      <c r="I547" s="37" t="str">
        <f ca="1">+IF(A547 &lt;= $L$2, (Full_Report!C627-'Internal Working'!C547),"")</f>
        <v/>
      </c>
      <c r="J547" s="37" t="str">
        <f t="shared" ca="1" si="70"/>
        <v>0</v>
      </c>
      <c r="K547" s="35" t="str">
        <f t="shared" si="71"/>
        <v>0</v>
      </c>
      <c r="L547" s="35" t="str">
        <f t="shared" si="69"/>
        <v/>
      </c>
      <c r="M547" s="2"/>
    </row>
    <row r="548" spans="1:13" x14ac:dyDescent="0.25">
      <c r="A548" s="1" t="str">
        <f>IF(OR(A547="",F547=0,A547=Refinance_Calculator!$C$29),"",A547+1)</f>
        <v/>
      </c>
      <c r="B548" s="3" t="str">
        <f t="shared" si="72"/>
        <v/>
      </c>
      <c r="C548" s="3" t="str">
        <f>IF(A548="","",(-PMT(Refinance_Calculator!$C$26/12,Refinance_Calculator!$C$29,Refinance_Calculator!$C$23,0,0)))</f>
        <v/>
      </c>
      <c r="D548" s="3" t="str">
        <f t="shared" si="73"/>
        <v/>
      </c>
      <c r="E548" s="3" t="str">
        <f>IF(A548="","",(-PPMT(Refinance_Calculator!$C$26/12,'Internal Working'!A548,Refinance_Calculator!$C$29,Refinance_Calculator!$C$23,0,0)))</f>
        <v/>
      </c>
      <c r="F548" s="3" t="str">
        <f t="shared" si="74"/>
        <v/>
      </c>
      <c r="G548" s="5" t="str">
        <f t="shared" si="75"/>
        <v/>
      </c>
      <c r="H548" s="36" t="str">
        <f t="shared" si="76"/>
        <v/>
      </c>
      <c r="I548" s="37" t="str">
        <f ca="1">+IF(A548 &lt;= $L$2, (Full_Report!C628-'Internal Working'!C548),"")</f>
        <v/>
      </c>
      <c r="J548" s="37" t="str">
        <f t="shared" ca="1" si="70"/>
        <v>0</v>
      </c>
      <c r="K548" s="35" t="str">
        <f t="shared" si="71"/>
        <v>0</v>
      </c>
      <c r="L548" s="35" t="str">
        <f t="shared" si="69"/>
        <v/>
      </c>
      <c r="M548" s="2"/>
    </row>
    <row r="549" spans="1:13" x14ac:dyDescent="0.25">
      <c r="A549" s="1" t="str">
        <f>IF(OR(A548="",F548=0,A548=Refinance_Calculator!$C$29),"",A548+1)</f>
        <v/>
      </c>
      <c r="B549" s="3" t="str">
        <f t="shared" si="72"/>
        <v/>
      </c>
      <c r="C549" s="3" t="str">
        <f>IF(A549="","",(-PMT(Refinance_Calculator!$C$26/12,Refinance_Calculator!$C$29,Refinance_Calculator!$C$23,0,0)))</f>
        <v/>
      </c>
      <c r="D549" s="3" t="str">
        <f t="shared" si="73"/>
        <v/>
      </c>
      <c r="E549" s="3" t="str">
        <f>IF(A549="","",(-PPMT(Refinance_Calculator!$C$26/12,'Internal Working'!A549,Refinance_Calculator!$C$29,Refinance_Calculator!$C$23,0,0)))</f>
        <v/>
      </c>
      <c r="F549" s="3" t="str">
        <f t="shared" si="74"/>
        <v/>
      </c>
      <c r="G549" s="5" t="str">
        <f t="shared" si="75"/>
        <v/>
      </c>
      <c r="H549" s="36" t="str">
        <f t="shared" si="76"/>
        <v/>
      </c>
      <c r="I549" s="37" t="str">
        <f ca="1">+IF(A549 &lt;= $L$2, (Full_Report!C629-'Internal Working'!C549),"")</f>
        <v/>
      </c>
      <c r="J549" s="37" t="str">
        <f t="shared" ca="1" si="70"/>
        <v>0</v>
      </c>
      <c r="K549" s="35" t="str">
        <f t="shared" si="71"/>
        <v>0</v>
      </c>
      <c r="L549" s="35" t="str">
        <f t="shared" si="69"/>
        <v/>
      </c>
      <c r="M549" s="2"/>
    </row>
    <row r="550" spans="1:13" x14ac:dyDescent="0.25">
      <c r="A550" s="1" t="str">
        <f>IF(OR(A549="",F549=0,A549=Refinance_Calculator!$C$29),"",A549+1)</f>
        <v/>
      </c>
      <c r="B550" s="3" t="str">
        <f t="shared" si="72"/>
        <v/>
      </c>
      <c r="C550" s="3" t="str">
        <f>IF(A550="","",(-PMT(Refinance_Calculator!$C$26/12,Refinance_Calculator!$C$29,Refinance_Calculator!$C$23,0,0)))</f>
        <v/>
      </c>
      <c r="D550" s="3" t="str">
        <f t="shared" si="73"/>
        <v/>
      </c>
      <c r="E550" s="3" t="str">
        <f>IF(A550="","",(-PPMT(Refinance_Calculator!$C$26/12,'Internal Working'!A550,Refinance_Calculator!$C$29,Refinance_Calculator!$C$23,0,0)))</f>
        <v/>
      </c>
      <c r="F550" s="3" t="str">
        <f t="shared" si="74"/>
        <v/>
      </c>
      <c r="G550" s="5" t="str">
        <f t="shared" si="75"/>
        <v/>
      </c>
      <c r="H550" s="36" t="str">
        <f t="shared" si="76"/>
        <v/>
      </c>
      <c r="I550" s="37" t="str">
        <f ca="1">+IF(A550 &lt;= $L$2, (Full_Report!C630-'Internal Working'!C550),"")</f>
        <v/>
      </c>
      <c r="J550" s="37" t="str">
        <f t="shared" ca="1" si="70"/>
        <v>0</v>
      </c>
      <c r="K550" s="35" t="str">
        <f t="shared" si="71"/>
        <v>0</v>
      </c>
      <c r="L550" s="35" t="str">
        <f t="shared" si="69"/>
        <v/>
      </c>
      <c r="M550" s="2"/>
    </row>
    <row r="551" spans="1:13" x14ac:dyDescent="0.25">
      <c r="A551" s="1" t="str">
        <f>IF(OR(A550="",F550=0,A550=Refinance_Calculator!$C$29),"",A550+1)</f>
        <v/>
      </c>
      <c r="B551" s="3" t="str">
        <f t="shared" si="72"/>
        <v/>
      </c>
      <c r="C551" s="3" t="str">
        <f>IF(A551="","",(-PMT(Refinance_Calculator!$C$26/12,Refinance_Calculator!$C$29,Refinance_Calculator!$C$23,0,0)))</f>
        <v/>
      </c>
      <c r="D551" s="3" t="str">
        <f t="shared" si="73"/>
        <v/>
      </c>
      <c r="E551" s="3" t="str">
        <f>IF(A551="","",(-PPMT(Refinance_Calculator!$C$26/12,'Internal Working'!A551,Refinance_Calculator!$C$29,Refinance_Calculator!$C$23,0,0)))</f>
        <v/>
      </c>
      <c r="F551" s="3" t="str">
        <f t="shared" si="74"/>
        <v/>
      </c>
      <c r="G551" s="5" t="str">
        <f t="shared" si="75"/>
        <v/>
      </c>
      <c r="H551" s="36" t="str">
        <f t="shared" si="76"/>
        <v/>
      </c>
      <c r="I551" s="37" t="str">
        <f ca="1">+IF(A551 &lt;= $L$2, (Full_Report!C631-'Internal Working'!C551),"")</f>
        <v/>
      </c>
      <c r="J551" s="37" t="str">
        <f t="shared" ca="1" si="70"/>
        <v>0</v>
      </c>
      <c r="K551" s="35" t="str">
        <f t="shared" si="71"/>
        <v>0</v>
      </c>
      <c r="L551" s="35" t="str">
        <f t="shared" si="69"/>
        <v/>
      </c>
      <c r="M551" s="2"/>
    </row>
    <row r="552" spans="1:13" x14ac:dyDescent="0.25">
      <c r="A552" s="1" t="str">
        <f>IF(OR(A551="",F551=0,A551=Refinance_Calculator!$C$29),"",A551+1)</f>
        <v/>
      </c>
      <c r="B552" s="3" t="str">
        <f t="shared" si="72"/>
        <v/>
      </c>
      <c r="C552" s="3" t="str">
        <f>IF(A552="","",(-PMT(Refinance_Calculator!$C$26/12,Refinance_Calculator!$C$29,Refinance_Calculator!$C$23,0,0)))</f>
        <v/>
      </c>
      <c r="D552" s="3" t="str">
        <f t="shared" si="73"/>
        <v/>
      </c>
      <c r="E552" s="3" t="str">
        <f>IF(A552="","",(-PPMT(Refinance_Calculator!$C$26/12,'Internal Working'!A552,Refinance_Calculator!$C$29,Refinance_Calculator!$C$23,0,0)))</f>
        <v/>
      </c>
      <c r="F552" s="3" t="str">
        <f t="shared" si="74"/>
        <v/>
      </c>
      <c r="G552" s="5" t="str">
        <f t="shared" si="75"/>
        <v/>
      </c>
      <c r="H552" s="36" t="str">
        <f t="shared" si="76"/>
        <v/>
      </c>
      <c r="I552" s="37" t="str">
        <f ca="1">+IF(A552 &lt;= $L$2, (Full_Report!C632-'Internal Working'!C552),"")</f>
        <v/>
      </c>
      <c r="J552" s="37" t="str">
        <f t="shared" ca="1" si="70"/>
        <v>0</v>
      </c>
      <c r="K552" s="35" t="str">
        <f t="shared" si="71"/>
        <v>0</v>
      </c>
      <c r="L552" s="35" t="str">
        <f t="shared" si="69"/>
        <v/>
      </c>
      <c r="M552" s="2"/>
    </row>
    <row r="553" spans="1:13" x14ac:dyDescent="0.25">
      <c r="A553" s="1" t="str">
        <f>IF(OR(A552="",F552=0,A552=Refinance_Calculator!$C$29),"",A552+1)</f>
        <v/>
      </c>
      <c r="B553" s="3" t="str">
        <f t="shared" si="72"/>
        <v/>
      </c>
      <c r="C553" s="3" t="str">
        <f>IF(A553="","",(-PMT(Refinance_Calculator!$C$26/12,Refinance_Calculator!$C$29,Refinance_Calculator!$C$23,0,0)))</f>
        <v/>
      </c>
      <c r="D553" s="3" t="str">
        <f t="shared" si="73"/>
        <v/>
      </c>
      <c r="E553" s="3" t="str">
        <f>IF(A553="","",(-PPMT(Refinance_Calculator!$C$26/12,'Internal Working'!A553,Refinance_Calculator!$C$29,Refinance_Calculator!$C$23,0,0)))</f>
        <v/>
      </c>
      <c r="F553" s="3" t="str">
        <f t="shared" si="74"/>
        <v/>
      </c>
      <c r="G553" s="5" t="str">
        <f t="shared" si="75"/>
        <v/>
      </c>
      <c r="H553" s="36" t="str">
        <f t="shared" si="76"/>
        <v/>
      </c>
      <c r="I553" s="37" t="str">
        <f ca="1">+IF(A553 &lt;= $L$2, (Full_Report!C633-'Internal Working'!C553),"")</f>
        <v/>
      </c>
      <c r="J553" s="37" t="str">
        <f t="shared" ca="1" si="70"/>
        <v>0</v>
      </c>
      <c r="K553" s="35" t="str">
        <f t="shared" si="71"/>
        <v>0</v>
      </c>
      <c r="L553" s="35" t="str">
        <f t="shared" si="69"/>
        <v/>
      </c>
      <c r="M553" s="2"/>
    </row>
    <row r="554" spans="1:13" x14ac:dyDescent="0.25">
      <c r="A554" s="1" t="str">
        <f>IF(OR(A553="",F553=0,A553=Refinance_Calculator!$C$29),"",A553+1)</f>
        <v/>
      </c>
      <c r="B554" s="3" t="str">
        <f t="shared" si="72"/>
        <v/>
      </c>
      <c r="C554" s="3" t="str">
        <f>IF(A554="","",(-PMT(Refinance_Calculator!$C$26/12,Refinance_Calculator!$C$29,Refinance_Calculator!$C$23,0,0)))</f>
        <v/>
      </c>
      <c r="D554" s="3" t="str">
        <f t="shared" si="73"/>
        <v/>
      </c>
      <c r="E554" s="3" t="str">
        <f>IF(A554="","",(-PPMT(Refinance_Calculator!$C$26/12,'Internal Working'!A554,Refinance_Calculator!$C$29,Refinance_Calculator!$C$23,0,0)))</f>
        <v/>
      </c>
      <c r="F554" s="3" t="str">
        <f t="shared" si="74"/>
        <v/>
      </c>
      <c r="G554" s="5" t="str">
        <f t="shared" si="75"/>
        <v/>
      </c>
      <c r="H554" s="36" t="str">
        <f t="shared" si="76"/>
        <v/>
      </c>
      <c r="I554" s="37" t="str">
        <f ca="1">+IF(A554 &lt;= $L$2, (Full_Report!C634-'Internal Working'!C554),"")</f>
        <v/>
      </c>
      <c r="J554" s="37" t="str">
        <f t="shared" ca="1" si="70"/>
        <v>0</v>
      </c>
      <c r="K554" s="35" t="str">
        <f t="shared" si="71"/>
        <v>0</v>
      </c>
      <c r="L554" s="35" t="str">
        <f t="shared" si="69"/>
        <v/>
      </c>
      <c r="M554" s="2"/>
    </row>
    <row r="555" spans="1:13" x14ac:dyDescent="0.25">
      <c r="A555" s="1" t="str">
        <f>IF(OR(A554="",F554=0,A554=Refinance_Calculator!$C$29),"",A554+1)</f>
        <v/>
      </c>
      <c r="B555" s="3" t="str">
        <f t="shared" si="72"/>
        <v/>
      </c>
      <c r="C555" s="3" t="str">
        <f>IF(A555="","",(-PMT(Refinance_Calculator!$C$26/12,Refinance_Calculator!$C$29,Refinance_Calculator!$C$23,0,0)))</f>
        <v/>
      </c>
      <c r="D555" s="3" t="str">
        <f t="shared" si="73"/>
        <v/>
      </c>
      <c r="E555" s="3" t="str">
        <f>IF(A555="","",(-PPMT(Refinance_Calculator!$C$26/12,'Internal Working'!A555,Refinance_Calculator!$C$29,Refinance_Calculator!$C$23,0,0)))</f>
        <v/>
      </c>
      <c r="F555" s="3" t="str">
        <f t="shared" si="74"/>
        <v/>
      </c>
      <c r="G555" s="5" t="str">
        <f t="shared" si="75"/>
        <v/>
      </c>
      <c r="H555" s="36" t="str">
        <f t="shared" si="76"/>
        <v/>
      </c>
      <c r="I555" s="37" t="str">
        <f ca="1">+IF(A555 &lt;= $L$2, (Full_Report!C635-'Internal Working'!C555),"")</f>
        <v/>
      </c>
      <c r="J555" s="37" t="str">
        <f t="shared" ca="1" si="70"/>
        <v>0</v>
      </c>
      <c r="K555" s="35" t="str">
        <f t="shared" si="71"/>
        <v>0</v>
      </c>
      <c r="L555" s="35" t="str">
        <f t="shared" si="69"/>
        <v/>
      </c>
      <c r="M555" s="2"/>
    </row>
    <row r="556" spans="1:13" x14ac:dyDescent="0.25">
      <c r="A556" s="1" t="str">
        <f>IF(OR(A555="",F555=0,A555=Refinance_Calculator!$C$29),"",A555+1)</f>
        <v/>
      </c>
      <c r="B556" s="3" t="str">
        <f t="shared" si="72"/>
        <v/>
      </c>
      <c r="C556" s="3" t="str">
        <f>IF(A556="","",(-PMT(Refinance_Calculator!$C$26/12,Refinance_Calculator!$C$29,Refinance_Calculator!$C$23,0,0)))</f>
        <v/>
      </c>
      <c r="D556" s="3" t="str">
        <f t="shared" si="73"/>
        <v/>
      </c>
      <c r="E556" s="3" t="str">
        <f>IF(A556="","",(-PPMT(Refinance_Calculator!$C$26/12,'Internal Working'!A556,Refinance_Calculator!$C$29,Refinance_Calculator!$C$23,0,0)))</f>
        <v/>
      </c>
      <c r="F556" s="3" t="str">
        <f t="shared" si="74"/>
        <v/>
      </c>
      <c r="G556" s="5" t="str">
        <f t="shared" si="75"/>
        <v/>
      </c>
      <c r="H556" s="36" t="str">
        <f t="shared" si="76"/>
        <v/>
      </c>
      <c r="I556" s="37" t="str">
        <f ca="1">+IF(A556 &lt;= $L$2, (Full_Report!C636-'Internal Working'!C556),"")</f>
        <v/>
      </c>
      <c r="J556" s="37" t="str">
        <f t="shared" ca="1" si="70"/>
        <v>0</v>
      </c>
      <c r="K556" s="35" t="str">
        <f t="shared" si="71"/>
        <v>0</v>
      </c>
      <c r="L556" s="35" t="str">
        <f t="shared" si="69"/>
        <v/>
      </c>
      <c r="M556" s="2"/>
    </row>
    <row r="557" spans="1:13" x14ac:dyDescent="0.25">
      <c r="A557" s="1" t="str">
        <f>IF(OR(A556="",F556=0,A556=Refinance_Calculator!$C$29),"",A556+1)</f>
        <v/>
      </c>
      <c r="B557" s="3" t="str">
        <f t="shared" si="72"/>
        <v/>
      </c>
      <c r="C557" s="3" t="str">
        <f>IF(A557="","",(-PMT(Refinance_Calculator!$C$26/12,Refinance_Calculator!$C$29,Refinance_Calculator!$C$23,0,0)))</f>
        <v/>
      </c>
      <c r="D557" s="3" t="str">
        <f t="shared" si="73"/>
        <v/>
      </c>
      <c r="E557" s="3" t="str">
        <f>IF(A557="","",(-PPMT(Refinance_Calculator!$C$26/12,'Internal Working'!A557,Refinance_Calculator!$C$29,Refinance_Calculator!$C$23,0,0)))</f>
        <v/>
      </c>
      <c r="F557" s="3" t="str">
        <f t="shared" si="74"/>
        <v/>
      </c>
      <c r="G557" s="5" t="str">
        <f t="shared" si="75"/>
        <v/>
      </c>
      <c r="H557" s="36" t="str">
        <f t="shared" si="76"/>
        <v/>
      </c>
      <c r="I557" s="37" t="str">
        <f ca="1">+IF(A557 &lt;= $L$2, (Full_Report!C637-'Internal Working'!C557),"")</f>
        <v/>
      </c>
      <c r="J557" s="37" t="str">
        <f t="shared" ca="1" si="70"/>
        <v>0</v>
      </c>
      <c r="K557" s="35" t="str">
        <f t="shared" si="71"/>
        <v>0</v>
      </c>
      <c r="L557" s="35" t="str">
        <f t="shared" si="69"/>
        <v/>
      </c>
      <c r="M557" s="2"/>
    </row>
    <row r="558" spans="1:13" x14ac:dyDescent="0.25">
      <c r="A558" s="1" t="str">
        <f>IF(OR(A557="",F557=0,A557=Refinance_Calculator!$C$29),"",A557+1)</f>
        <v/>
      </c>
      <c r="B558" s="3" t="str">
        <f t="shared" si="72"/>
        <v/>
      </c>
      <c r="C558" s="3" t="str">
        <f>IF(A558="","",(-PMT(Refinance_Calculator!$C$26/12,Refinance_Calculator!$C$29,Refinance_Calculator!$C$23,0,0)))</f>
        <v/>
      </c>
      <c r="D558" s="3" t="str">
        <f t="shared" si="73"/>
        <v/>
      </c>
      <c r="E558" s="3" t="str">
        <f>IF(A558="","",(-PPMT(Refinance_Calculator!$C$26/12,'Internal Working'!A558,Refinance_Calculator!$C$29,Refinance_Calculator!$C$23,0,0)))</f>
        <v/>
      </c>
      <c r="F558" s="3" t="str">
        <f t="shared" si="74"/>
        <v/>
      </c>
      <c r="G558" s="5" t="str">
        <f t="shared" si="75"/>
        <v/>
      </c>
      <c r="H558" s="36" t="str">
        <f t="shared" si="76"/>
        <v/>
      </c>
      <c r="I558" s="37" t="str">
        <f ca="1">+IF(A558 &lt;= $L$2, (Full_Report!C638-'Internal Working'!C558),"")</f>
        <v/>
      </c>
      <c r="J558" s="37" t="str">
        <f t="shared" ca="1" si="70"/>
        <v>0</v>
      </c>
      <c r="K558" s="35" t="str">
        <f t="shared" si="71"/>
        <v>0</v>
      </c>
      <c r="L558" s="35" t="str">
        <f t="shared" si="69"/>
        <v/>
      </c>
      <c r="M558" s="2"/>
    </row>
    <row r="559" spans="1:13" x14ac:dyDescent="0.25">
      <c r="A559" s="1" t="str">
        <f>IF(OR(A558="",F558=0,A558=Refinance_Calculator!$C$29),"",A558+1)</f>
        <v/>
      </c>
      <c r="B559" s="3" t="str">
        <f t="shared" si="72"/>
        <v/>
      </c>
      <c r="C559" s="3" t="str">
        <f>IF(A559="","",(-PMT(Refinance_Calculator!$C$26/12,Refinance_Calculator!$C$29,Refinance_Calculator!$C$23,0,0)))</f>
        <v/>
      </c>
      <c r="D559" s="3" t="str">
        <f t="shared" si="73"/>
        <v/>
      </c>
      <c r="E559" s="3" t="str">
        <f>IF(A559="","",(-PPMT(Refinance_Calculator!$C$26/12,'Internal Working'!A559,Refinance_Calculator!$C$29,Refinance_Calculator!$C$23,0,0)))</f>
        <v/>
      </c>
      <c r="F559" s="3" t="str">
        <f t="shared" si="74"/>
        <v/>
      </c>
      <c r="G559" s="5" t="str">
        <f t="shared" si="75"/>
        <v/>
      </c>
      <c r="H559" s="36" t="str">
        <f t="shared" si="76"/>
        <v/>
      </c>
      <c r="I559" s="37" t="str">
        <f ca="1">+IF(A559 &lt;= $L$2, (Full_Report!C639-'Internal Working'!C559),"")</f>
        <v/>
      </c>
      <c r="J559" s="37" t="str">
        <f t="shared" ca="1" si="70"/>
        <v>0</v>
      </c>
      <c r="K559" s="35" t="str">
        <f t="shared" si="71"/>
        <v>0</v>
      </c>
      <c r="L559" s="35" t="str">
        <f t="shared" si="69"/>
        <v/>
      </c>
      <c r="M559" s="2"/>
    </row>
    <row r="560" spans="1:13" x14ac:dyDescent="0.25">
      <c r="A560" s="1" t="str">
        <f>IF(OR(A559="",F559=0,A559=Refinance_Calculator!$C$29),"",A559+1)</f>
        <v/>
      </c>
      <c r="B560" s="3" t="str">
        <f t="shared" si="72"/>
        <v/>
      </c>
      <c r="C560" s="3" t="str">
        <f>IF(A560="","",(-PMT(Refinance_Calculator!$C$26/12,Refinance_Calculator!$C$29,Refinance_Calculator!$C$23,0,0)))</f>
        <v/>
      </c>
      <c r="D560" s="3" t="str">
        <f t="shared" si="73"/>
        <v/>
      </c>
      <c r="E560" s="3" t="str">
        <f>IF(A560="","",(-PPMT(Refinance_Calculator!$C$26/12,'Internal Working'!A560,Refinance_Calculator!$C$29,Refinance_Calculator!$C$23,0,0)))</f>
        <v/>
      </c>
      <c r="F560" s="3" t="str">
        <f t="shared" si="74"/>
        <v/>
      </c>
      <c r="G560" s="5" t="str">
        <f t="shared" si="75"/>
        <v/>
      </c>
      <c r="H560" s="36" t="str">
        <f t="shared" si="76"/>
        <v/>
      </c>
      <c r="I560" s="37" t="str">
        <f ca="1">+IF(A560 &lt;= $L$2, (Full_Report!C640-'Internal Working'!C560),"")</f>
        <v/>
      </c>
      <c r="J560" s="37" t="str">
        <f t="shared" ca="1" si="70"/>
        <v>0</v>
      </c>
      <c r="K560" s="35" t="str">
        <f t="shared" si="71"/>
        <v>0</v>
      </c>
      <c r="L560" s="35" t="str">
        <f t="shared" si="69"/>
        <v/>
      </c>
      <c r="M560" s="2"/>
    </row>
    <row r="561" spans="1:13" x14ac:dyDescent="0.25">
      <c r="A561" s="1" t="str">
        <f>IF(OR(A560="",F560=0,A560=Refinance_Calculator!$C$29),"",A560+1)</f>
        <v/>
      </c>
      <c r="B561" s="3" t="str">
        <f t="shared" si="72"/>
        <v/>
      </c>
      <c r="C561" s="3" t="str">
        <f>IF(A561="","",(-PMT(Refinance_Calculator!$C$26/12,Refinance_Calculator!$C$29,Refinance_Calculator!$C$23,0,0)))</f>
        <v/>
      </c>
      <c r="D561" s="3" t="str">
        <f t="shared" si="73"/>
        <v/>
      </c>
      <c r="E561" s="3" t="str">
        <f>IF(A561="","",(-PPMT(Refinance_Calculator!$C$26/12,'Internal Working'!A561,Refinance_Calculator!$C$29,Refinance_Calculator!$C$23,0,0)))</f>
        <v/>
      </c>
      <c r="F561" s="3" t="str">
        <f t="shared" si="74"/>
        <v/>
      </c>
      <c r="G561" s="5" t="str">
        <f t="shared" si="75"/>
        <v/>
      </c>
      <c r="H561" s="36" t="str">
        <f t="shared" si="76"/>
        <v/>
      </c>
      <c r="I561" s="37" t="str">
        <f ca="1">+IF(A561 &lt;= $L$2, (Full_Report!C641-'Internal Working'!C561),"")</f>
        <v/>
      </c>
      <c r="J561" s="37" t="str">
        <f t="shared" ca="1" si="70"/>
        <v>0</v>
      </c>
      <c r="K561" s="35" t="str">
        <f t="shared" si="71"/>
        <v>0</v>
      </c>
      <c r="L561" s="35" t="str">
        <f t="shared" si="69"/>
        <v/>
      </c>
      <c r="M561" s="2"/>
    </row>
    <row r="562" spans="1:13" x14ac:dyDescent="0.25">
      <c r="A562" s="1" t="str">
        <f>IF(OR(A561="",F561=0,A561=Refinance_Calculator!$C$29),"",A561+1)</f>
        <v/>
      </c>
      <c r="B562" s="3" t="str">
        <f t="shared" si="72"/>
        <v/>
      </c>
      <c r="C562" s="3" t="str">
        <f>IF(A562="","",(-PMT(Refinance_Calculator!$C$26/12,Refinance_Calculator!$C$29,Refinance_Calculator!$C$23,0,0)))</f>
        <v/>
      </c>
      <c r="D562" s="3" t="str">
        <f t="shared" si="73"/>
        <v/>
      </c>
      <c r="E562" s="3" t="str">
        <f>IF(A562="","",(-PPMT(Refinance_Calculator!$C$26/12,'Internal Working'!A562,Refinance_Calculator!$C$29,Refinance_Calculator!$C$23,0,0)))</f>
        <v/>
      </c>
      <c r="F562" s="3" t="str">
        <f t="shared" si="74"/>
        <v/>
      </c>
      <c r="G562" s="5" t="str">
        <f t="shared" si="75"/>
        <v/>
      </c>
      <c r="H562" s="36" t="str">
        <f t="shared" si="76"/>
        <v/>
      </c>
      <c r="I562" s="37" t="str">
        <f ca="1">+IF(A562 &lt;= $L$2, (Full_Report!C642-'Internal Working'!C562),"")</f>
        <v/>
      </c>
      <c r="J562" s="37" t="str">
        <f t="shared" ca="1" si="70"/>
        <v>0</v>
      </c>
      <c r="K562" s="35" t="str">
        <f t="shared" si="71"/>
        <v>0</v>
      </c>
      <c r="L562" s="35" t="str">
        <f t="shared" si="69"/>
        <v/>
      </c>
      <c r="M562" s="2"/>
    </row>
    <row r="563" spans="1:13" x14ac:dyDescent="0.25">
      <c r="A563" s="1" t="str">
        <f>IF(OR(A562="",F562=0,A562=Refinance_Calculator!$C$29),"",A562+1)</f>
        <v/>
      </c>
      <c r="B563" s="3" t="str">
        <f t="shared" si="72"/>
        <v/>
      </c>
      <c r="C563" s="3" t="str">
        <f>IF(A563="","",(-PMT(Refinance_Calculator!$C$26/12,Refinance_Calculator!$C$29,Refinance_Calculator!$C$23,0,0)))</f>
        <v/>
      </c>
      <c r="D563" s="3" t="str">
        <f t="shared" si="73"/>
        <v/>
      </c>
      <c r="E563" s="3" t="str">
        <f>IF(A563="","",(-PPMT(Refinance_Calculator!$C$26/12,'Internal Working'!A563,Refinance_Calculator!$C$29,Refinance_Calculator!$C$23,0,0)))</f>
        <v/>
      </c>
      <c r="F563" s="3" t="str">
        <f t="shared" si="74"/>
        <v/>
      </c>
      <c r="G563" s="5" t="str">
        <f t="shared" si="75"/>
        <v/>
      </c>
      <c r="H563" s="36" t="str">
        <f t="shared" si="76"/>
        <v/>
      </c>
      <c r="I563" s="37" t="str">
        <f ca="1">+IF(A563 &lt;= $L$2, (Full_Report!C643-'Internal Working'!C563),"")</f>
        <v/>
      </c>
      <c r="J563" s="37" t="str">
        <f t="shared" ca="1" si="70"/>
        <v>0</v>
      </c>
      <c r="K563" s="35" t="str">
        <f t="shared" si="71"/>
        <v>0</v>
      </c>
      <c r="L563" s="35" t="str">
        <f t="shared" si="69"/>
        <v/>
      </c>
      <c r="M563" s="2"/>
    </row>
    <row r="564" spans="1:13" x14ac:dyDescent="0.25">
      <c r="A564" s="1" t="str">
        <f>IF(OR(A563="",F563=0,A563=Refinance_Calculator!$C$29),"",A563+1)</f>
        <v/>
      </c>
      <c r="B564" s="3" t="str">
        <f t="shared" si="72"/>
        <v/>
      </c>
      <c r="C564" s="3" t="str">
        <f>IF(A564="","",(-PMT(Refinance_Calculator!$C$26/12,Refinance_Calculator!$C$29,Refinance_Calculator!$C$23,0,0)))</f>
        <v/>
      </c>
      <c r="D564" s="3" t="str">
        <f t="shared" si="73"/>
        <v/>
      </c>
      <c r="E564" s="3" t="str">
        <f>IF(A564="","",(-PPMT(Refinance_Calculator!$C$26/12,'Internal Working'!A564,Refinance_Calculator!$C$29,Refinance_Calculator!$C$23,0,0)))</f>
        <v/>
      </c>
      <c r="F564" s="3" t="str">
        <f t="shared" si="74"/>
        <v/>
      </c>
      <c r="G564" s="5" t="str">
        <f t="shared" si="75"/>
        <v/>
      </c>
      <c r="H564" s="36" t="str">
        <f t="shared" si="76"/>
        <v/>
      </c>
      <c r="I564" s="37" t="str">
        <f ca="1">+IF(A564 &lt;= $L$2, (Full_Report!C644-'Internal Working'!C564),"")</f>
        <v/>
      </c>
      <c r="J564" s="37" t="str">
        <f t="shared" ca="1" si="70"/>
        <v>0</v>
      </c>
      <c r="K564" s="35" t="str">
        <f t="shared" si="71"/>
        <v>0</v>
      </c>
      <c r="L564" s="35" t="str">
        <f t="shared" si="69"/>
        <v/>
      </c>
      <c r="M564" s="2"/>
    </row>
    <row r="565" spans="1:13" x14ac:dyDescent="0.25">
      <c r="A565" s="1" t="str">
        <f>IF(OR(A564="",F564=0,A564=Refinance_Calculator!$C$29),"",A564+1)</f>
        <v/>
      </c>
      <c r="B565" s="3" t="str">
        <f t="shared" si="72"/>
        <v/>
      </c>
      <c r="C565" s="3" t="str">
        <f>IF(A565="","",(-PMT(Refinance_Calculator!$C$26/12,Refinance_Calculator!$C$29,Refinance_Calculator!$C$23,0,0)))</f>
        <v/>
      </c>
      <c r="D565" s="3" t="str">
        <f t="shared" si="73"/>
        <v/>
      </c>
      <c r="E565" s="3" t="str">
        <f>IF(A565="","",(-PPMT(Refinance_Calculator!$C$26/12,'Internal Working'!A565,Refinance_Calculator!$C$29,Refinance_Calculator!$C$23,0,0)))</f>
        <v/>
      </c>
      <c r="F565" s="3" t="str">
        <f t="shared" si="74"/>
        <v/>
      </c>
      <c r="G565" s="5" t="str">
        <f t="shared" si="75"/>
        <v/>
      </c>
      <c r="H565" s="36" t="str">
        <f t="shared" si="76"/>
        <v/>
      </c>
      <c r="I565" s="37" t="str">
        <f ca="1">+IF(A565 &lt;= $L$2, (Full_Report!C645-'Internal Working'!C565),"")</f>
        <v/>
      </c>
      <c r="J565" s="37" t="str">
        <f t="shared" ca="1" si="70"/>
        <v>0</v>
      </c>
      <c r="K565" s="35" t="str">
        <f t="shared" si="71"/>
        <v>0</v>
      </c>
      <c r="L565" s="35" t="str">
        <f t="shared" si="69"/>
        <v/>
      </c>
      <c r="M565" s="2"/>
    </row>
    <row r="566" spans="1:13" x14ac:dyDescent="0.25">
      <c r="A566" s="1" t="str">
        <f>IF(OR(A565="",F565=0,A565=Refinance_Calculator!$C$29),"",A565+1)</f>
        <v/>
      </c>
      <c r="B566" s="3" t="str">
        <f t="shared" si="72"/>
        <v/>
      </c>
      <c r="C566" s="3" t="str">
        <f>IF(A566="","",(-PMT(Refinance_Calculator!$C$26/12,Refinance_Calculator!$C$29,Refinance_Calculator!$C$23,0,0)))</f>
        <v/>
      </c>
      <c r="D566" s="3" t="str">
        <f t="shared" si="73"/>
        <v/>
      </c>
      <c r="E566" s="3" t="str">
        <f>IF(A566="","",(-PPMT(Refinance_Calculator!$C$26/12,'Internal Working'!A566,Refinance_Calculator!$C$29,Refinance_Calculator!$C$23,0,0)))</f>
        <v/>
      </c>
      <c r="F566" s="3" t="str">
        <f t="shared" si="74"/>
        <v/>
      </c>
      <c r="G566" s="5" t="str">
        <f t="shared" si="75"/>
        <v/>
      </c>
      <c r="H566" s="36" t="str">
        <f t="shared" si="76"/>
        <v/>
      </c>
      <c r="I566" s="37" t="str">
        <f ca="1">+IF(A566 &lt;= $L$2, (Full_Report!C646-'Internal Working'!C566),"")</f>
        <v/>
      </c>
      <c r="J566" s="37" t="str">
        <f t="shared" ca="1" si="70"/>
        <v>0</v>
      </c>
      <c r="K566" s="35" t="str">
        <f t="shared" si="71"/>
        <v>0</v>
      </c>
      <c r="L566" s="35" t="str">
        <f t="shared" si="69"/>
        <v/>
      </c>
      <c r="M566" s="2"/>
    </row>
    <row r="567" spans="1:13" x14ac:dyDescent="0.25">
      <c r="A567" s="1" t="str">
        <f>IF(OR(A566="",F566=0,A566=Refinance_Calculator!$C$29),"",A566+1)</f>
        <v/>
      </c>
      <c r="B567" s="3" t="str">
        <f t="shared" si="72"/>
        <v/>
      </c>
      <c r="C567" s="3" t="str">
        <f>IF(A567="","",(-PMT(Refinance_Calculator!$C$26/12,Refinance_Calculator!$C$29,Refinance_Calculator!$C$23,0,0)))</f>
        <v/>
      </c>
      <c r="D567" s="3" t="str">
        <f t="shared" si="73"/>
        <v/>
      </c>
      <c r="E567" s="3" t="str">
        <f>IF(A567="","",(-PPMT(Refinance_Calculator!$C$26/12,'Internal Working'!A567,Refinance_Calculator!$C$29,Refinance_Calculator!$C$23,0,0)))</f>
        <v/>
      </c>
      <c r="F567" s="3" t="str">
        <f t="shared" si="74"/>
        <v/>
      </c>
      <c r="G567" s="5" t="str">
        <f t="shared" si="75"/>
        <v/>
      </c>
      <c r="H567" s="36" t="str">
        <f t="shared" si="76"/>
        <v/>
      </c>
      <c r="I567" s="37" t="str">
        <f ca="1">+IF(A567 &lt;= $L$2, (Full_Report!C647-'Internal Working'!C567),"")</f>
        <v/>
      </c>
      <c r="J567" s="37" t="str">
        <f t="shared" ca="1" si="70"/>
        <v>0</v>
      </c>
      <c r="K567" s="35" t="str">
        <f t="shared" si="71"/>
        <v>0</v>
      </c>
      <c r="L567" s="35" t="str">
        <f t="shared" si="69"/>
        <v/>
      </c>
      <c r="M567" s="2"/>
    </row>
    <row r="568" spans="1:13" x14ac:dyDescent="0.25">
      <c r="A568" s="1" t="str">
        <f>IF(OR(A567="",F567=0,A567=Refinance_Calculator!$C$29),"",A567+1)</f>
        <v/>
      </c>
      <c r="B568" s="3" t="str">
        <f t="shared" si="72"/>
        <v/>
      </c>
      <c r="C568" s="3" t="str">
        <f>IF(A568="","",(-PMT(Refinance_Calculator!$C$26/12,Refinance_Calculator!$C$29,Refinance_Calculator!$C$23,0,0)))</f>
        <v/>
      </c>
      <c r="D568" s="3" t="str">
        <f t="shared" si="73"/>
        <v/>
      </c>
      <c r="E568" s="3" t="str">
        <f>IF(A568="","",(-PPMT(Refinance_Calculator!$C$26/12,'Internal Working'!A568,Refinance_Calculator!$C$29,Refinance_Calculator!$C$23,0,0)))</f>
        <v/>
      </c>
      <c r="F568" s="3" t="str">
        <f t="shared" si="74"/>
        <v/>
      </c>
      <c r="G568" s="5" t="str">
        <f t="shared" si="75"/>
        <v/>
      </c>
      <c r="H568" s="36" t="str">
        <f t="shared" si="76"/>
        <v/>
      </c>
      <c r="I568" s="37" t="str">
        <f ca="1">+IF(A568 &lt;= $L$2, (Full_Report!C648-'Internal Working'!C568),"")</f>
        <v/>
      </c>
      <c r="J568" s="37" t="str">
        <f t="shared" ca="1" si="70"/>
        <v>0</v>
      </c>
      <c r="K568" s="35" t="str">
        <f t="shared" si="71"/>
        <v>0</v>
      </c>
      <c r="L568" s="35" t="str">
        <f t="shared" si="69"/>
        <v/>
      </c>
      <c r="M568" s="2"/>
    </row>
    <row r="569" spans="1:13" x14ac:dyDescent="0.25">
      <c r="A569" s="1" t="str">
        <f>IF(OR(A568="",F568=0,A568=Refinance_Calculator!$C$29),"",A568+1)</f>
        <v/>
      </c>
      <c r="B569" s="3" t="str">
        <f t="shared" si="72"/>
        <v/>
      </c>
      <c r="C569" s="3" t="str">
        <f>IF(A569="","",(-PMT(Refinance_Calculator!$C$26/12,Refinance_Calculator!$C$29,Refinance_Calculator!$C$23,0,0)))</f>
        <v/>
      </c>
      <c r="D569" s="3" t="str">
        <f t="shared" si="73"/>
        <v/>
      </c>
      <c r="E569" s="3" t="str">
        <f>IF(A569="","",(-PPMT(Refinance_Calculator!$C$26/12,'Internal Working'!A569,Refinance_Calculator!$C$29,Refinance_Calculator!$C$23,0,0)))</f>
        <v/>
      </c>
      <c r="F569" s="3" t="str">
        <f t="shared" si="74"/>
        <v/>
      </c>
      <c r="G569" s="5" t="str">
        <f t="shared" si="75"/>
        <v/>
      </c>
      <c r="H569" s="36" t="str">
        <f t="shared" si="76"/>
        <v/>
      </c>
      <c r="I569" s="37" t="str">
        <f ca="1">+IF(A569 &lt;= $L$2, (Full_Report!C649-'Internal Working'!C569),"")</f>
        <v/>
      </c>
      <c r="J569" s="37" t="str">
        <f t="shared" ca="1" si="70"/>
        <v>0</v>
      </c>
      <c r="K569" s="35" t="str">
        <f t="shared" si="71"/>
        <v>0</v>
      </c>
      <c r="L569" s="35" t="str">
        <f t="shared" si="69"/>
        <v/>
      </c>
      <c r="M569" s="2"/>
    </row>
    <row r="570" spans="1:13" x14ac:dyDescent="0.25">
      <c r="A570" s="1" t="str">
        <f>IF(OR(A569="",F569=0,A569=Refinance_Calculator!$C$29),"",A569+1)</f>
        <v/>
      </c>
      <c r="B570" s="3" t="str">
        <f t="shared" si="72"/>
        <v/>
      </c>
      <c r="C570" s="3" t="str">
        <f>IF(A570="","",(-PMT(Refinance_Calculator!$C$26/12,Refinance_Calculator!$C$29,Refinance_Calculator!$C$23,0,0)))</f>
        <v/>
      </c>
      <c r="D570" s="3" t="str">
        <f t="shared" si="73"/>
        <v/>
      </c>
      <c r="E570" s="3" t="str">
        <f>IF(A570="","",(-PPMT(Refinance_Calculator!$C$26/12,'Internal Working'!A570,Refinance_Calculator!$C$29,Refinance_Calculator!$C$23,0,0)))</f>
        <v/>
      </c>
      <c r="F570" s="3" t="str">
        <f t="shared" si="74"/>
        <v/>
      </c>
      <c r="G570" s="5" t="str">
        <f t="shared" si="75"/>
        <v/>
      </c>
      <c r="H570" s="36" t="str">
        <f t="shared" si="76"/>
        <v/>
      </c>
      <c r="I570" s="37" t="str">
        <f ca="1">+IF(A570 &lt;= $L$2, (Full_Report!C650-'Internal Working'!C570),"")</f>
        <v/>
      </c>
      <c r="J570" s="37" t="str">
        <f t="shared" ca="1" si="70"/>
        <v>0</v>
      </c>
      <c r="K570" s="35" t="str">
        <f t="shared" si="71"/>
        <v>0</v>
      </c>
      <c r="L570" s="35" t="str">
        <f t="shared" si="69"/>
        <v/>
      </c>
      <c r="M570" s="2"/>
    </row>
    <row r="571" spans="1:13" x14ac:dyDescent="0.25">
      <c r="A571" s="1" t="str">
        <f>IF(OR(A570="",F570=0,A570=Refinance_Calculator!$C$29),"",A570+1)</f>
        <v/>
      </c>
      <c r="B571" s="3" t="str">
        <f t="shared" si="72"/>
        <v/>
      </c>
      <c r="C571" s="3" t="str">
        <f>IF(A571="","",(-PMT(Refinance_Calculator!$C$26/12,Refinance_Calculator!$C$29,Refinance_Calculator!$C$23,0,0)))</f>
        <v/>
      </c>
      <c r="D571" s="3" t="str">
        <f t="shared" si="73"/>
        <v/>
      </c>
      <c r="E571" s="3" t="str">
        <f>IF(A571="","",(-PPMT(Refinance_Calculator!$C$26/12,'Internal Working'!A571,Refinance_Calculator!$C$29,Refinance_Calculator!$C$23,0,0)))</f>
        <v/>
      </c>
      <c r="F571" s="3" t="str">
        <f t="shared" si="74"/>
        <v/>
      </c>
      <c r="G571" s="5" t="str">
        <f t="shared" si="75"/>
        <v/>
      </c>
      <c r="H571" s="36" t="str">
        <f t="shared" si="76"/>
        <v/>
      </c>
      <c r="I571" s="37" t="str">
        <f ca="1">+IF(A571 &lt;= $L$2, (Full_Report!C651-'Internal Working'!C571),"")</f>
        <v/>
      </c>
      <c r="J571" s="37" t="str">
        <f t="shared" ca="1" si="70"/>
        <v>0</v>
      </c>
      <c r="K571" s="35" t="str">
        <f t="shared" si="71"/>
        <v>0</v>
      </c>
      <c r="L571" s="35" t="str">
        <f t="shared" si="69"/>
        <v/>
      </c>
      <c r="M571" s="2"/>
    </row>
    <row r="572" spans="1:13" x14ac:dyDescent="0.25">
      <c r="A572" s="1" t="str">
        <f>IF(OR(A571="",F571=0,A571=Refinance_Calculator!$C$29),"",A571+1)</f>
        <v/>
      </c>
      <c r="B572" s="3" t="str">
        <f t="shared" si="72"/>
        <v/>
      </c>
      <c r="C572" s="3" t="str">
        <f>IF(A572="","",(-PMT(Refinance_Calculator!$C$26/12,Refinance_Calculator!$C$29,Refinance_Calculator!$C$23,0,0)))</f>
        <v/>
      </c>
      <c r="D572" s="3" t="str">
        <f t="shared" si="73"/>
        <v/>
      </c>
      <c r="E572" s="3" t="str">
        <f>IF(A572="","",(-PPMT(Refinance_Calculator!$C$26/12,'Internal Working'!A572,Refinance_Calculator!$C$29,Refinance_Calculator!$C$23,0,0)))</f>
        <v/>
      </c>
      <c r="F572" s="3" t="str">
        <f t="shared" si="74"/>
        <v/>
      </c>
      <c r="G572" s="5" t="str">
        <f t="shared" si="75"/>
        <v/>
      </c>
      <c r="H572" s="36" t="str">
        <f t="shared" si="76"/>
        <v/>
      </c>
      <c r="I572" s="37" t="str">
        <f ca="1">+IF(A572 &lt;= $L$2, (Full_Report!C652-'Internal Working'!C572),"")</f>
        <v/>
      </c>
      <c r="J572" s="37" t="str">
        <f t="shared" ca="1" si="70"/>
        <v>0</v>
      </c>
      <c r="K572" s="35" t="str">
        <f t="shared" si="71"/>
        <v>0</v>
      </c>
      <c r="L572" s="35" t="str">
        <f t="shared" si="69"/>
        <v/>
      </c>
      <c r="M572" s="2"/>
    </row>
    <row r="573" spans="1:13" x14ac:dyDescent="0.25">
      <c r="A573" s="1" t="str">
        <f>IF(OR(A572="",F572=0,A572=Refinance_Calculator!$C$29),"",A572+1)</f>
        <v/>
      </c>
      <c r="B573" s="3" t="str">
        <f t="shared" si="72"/>
        <v/>
      </c>
      <c r="C573" s="3" t="str">
        <f>IF(A573="","",(-PMT(Refinance_Calculator!$C$26/12,Refinance_Calculator!$C$29,Refinance_Calculator!$C$23,0,0)))</f>
        <v/>
      </c>
      <c r="D573" s="3" t="str">
        <f t="shared" si="73"/>
        <v/>
      </c>
      <c r="E573" s="3" t="str">
        <f>IF(A573="","",(-PPMT(Refinance_Calculator!$C$26/12,'Internal Working'!A573,Refinance_Calculator!$C$29,Refinance_Calculator!$C$23,0,0)))</f>
        <v/>
      </c>
      <c r="F573" s="3" t="str">
        <f t="shared" si="74"/>
        <v/>
      </c>
      <c r="G573" s="5" t="str">
        <f t="shared" si="75"/>
        <v/>
      </c>
      <c r="H573" s="36" t="str">
        <f t="shared" si="76"/>
        <v/>
      </c>
      <c r="I573" s="37" t="str">
        <f ca="1">+IF(A573 &lt;= $L$2, (Full_Report!C653-'Internal Working'!C573),"")</f>
        <v/>
      </c>
      <c r="J573" s="37" t="str">
        <f t="shared" ca="1" si="70"/>
        <v>0</v>
      </c>
      <c r="K573" s="35" t="str">
        <f t="shared" si="71"/>
        <v>0</v>
      </c>
      <c r="L573" s="35" t="str">
        <f t="shared" si="69"/>
        <v/>
      </c>
      <c r="M573" s="2"/>
    </row>
    <row r="574" spans="1:13" x14ac:dyDescent="0.25">
      <c r="A574" s="1" t="str">
        <f>IF(OR(A573="",F573=0,A573=Refinance_Calculator!$C$29),"",A573+1)</f>
        <v/>
      </c>
      <c r="B574" s="3" t="str">
        <f t="shared" si="72"/>
        <v/>
      </c>
      <c r="C574" s="3" t="str">
        <f>IF(A574="","",(-PMT(Refinance_Calculator!$C$26/12,Refinance_Calculator!$C$29,Refinance_Calculator!$C$23,0,0)))</f>
        <v/>
      </c>
      <c r="D574" s="3" t="str">
        <f t="shared" si="73"/>
        <v/>
      </c>
      <c r="E574" s="3" t="str">
        <f>IF(A574="","",(-PPMT(Refinance_Calculator!$C$26/12,'Internal Working'!A574,Refinance_Calculator!$C$29,Refinance_Calculator!$C$23,0,0)))</f>
        <v/>
      </c>
      <c r="F574" s="3" t="str">
        <f t="shared" si="74"/>
        <v/>
      </c>
      <c r="G574" s="5" t="str">
        <f t="shared" si="75"/>
        <v/>
      </c>
      <c r="H574" s="36" t="str">
        <f t="shared" si="76"/>
        <v/>
      </c>
      <c r="I574" s="37" t="str">
        <f ca="1">+IF(A574 &lt;= $L$2, (Full_Report!C654-'Internal Working'!C574),"")</f>
        <v/>
      </c>
      <c r="J574" s="37" t="str">
        <f t="shared" ca="1" si="70"/>
        <v>0</v>
      </c>
      <c r="K574" s="35" t="str">
        <f t="shared" si="71"/>
        <v>0</v>
      </c>
      <c r="L574" s="35" t="str">
        <f t="shared" si="69"/>
        <v/>
      </c>
      <c r="M574" s="2"/>
    </row>
    <row r="575" spans="1:13" x14ac:dyDescent="0.25">
      <c r="A575" s="1" t="str">
        <f>IF(OR(A574="",F574=0,A574=Refinance_Calculator!$C$29),"",A574+1)</f>
        <v/>
      </c>
      <c r="B575" s="3" t="str">
        <f t="shared" si="72"/>
        <v/>
      </c>
      <c r="C575" s="3" t="str">
        <f>IF(A575="","",(-PMT(Refinance_Calculator!$C$26/12,Refinance_Calculator!$C$29,Refinance_Calculator!$C$23,0,0)))</f>
        <v/>
      </c>
      <c r="D575" s="3" t="str">
        <f t="shared" si="73"/>
        <v/>
      </c>
      <c r="E575" s="3" t="str">
        <f>IF(A575="","",(-PPMT(Refinance_Calculator!$C$26/12,'Internal Working'!A575,Refinance_Calculator!$C$29,Refinance_Calculator!$C$23,0,0)))</f>
        <v/>
      </c>
      <c r="F575" s="3" t="str">
        <f t="shared" si="74"/>
        <v/>
      </c>
      <c r="G575" s="5" t="str">
        <f t="shared" si="75"/>
        <v/>
      </c>
      <c r="H575" s="36" t="str">
        <f t="shared" si="76"/>
        <v/>
      </c>
      <c r="I575" s="37" t="str">
        <f ca="1">+IF(A575 &lt;= $L$2, (Full_Report!C655-'Internal Working'!C575),"")</f>
        <v/>
      </c>
      <c r="J575" s="37" t="str">
        <f t="shared" ca="1" si="70"/>
        <v>0</v>
      </c>
      <c r="K575" s="35" t="str">
        <f t="shared" si="71"/>
        <v>0</v>
      </c>
      <c r="L575" s="35" t="str">
        <f t="shared" si="69"/>
        <v/>
      </c>
      <c r="M575" s="2"/>
    </row>
    <row r="576" spans="1:13" x14ac:dyDescent="0.25">
      <c r="A576" s="1" t="str">
        <f>IF(OR(A575="",F575=0,A575=Refinance_Calculator!$C$29),"",A575+1)</f>
        <v/>
      </c>
      <c r="B576" s="3" t="str">
        <f t="shared" si="72"/>
        <v/>
      </c>
      <c r="C576" s="3" t="str">
        <f>IF(A576="","",(-PMT(Refinance_Calculator!$C$26/12,Refinance_Calculator!$C$29,Refinance_Calculator!$C$23,0,0)))</f>
        <v/>
      </c>
      <c r="D576" s="3" t="str">
        <f t="shared" si="73"/>
        <v/>
      </c>
      <c r="E576" s="3" t="str">
        <f>IF(A576="","",(-PPMT(Refinance_Calculator!$C$26/12,'Internal Working'!A576,Refinance_Calculator!$C$29,Refinance_Calculator!$C$23,0,0)))</f>
        <v/>
      </c>
      <c r="F576" s="3" t="str">
        <f t="shared" si="74"/>
        <v/>
      </c>
      <c r="G576" s="5" t="str">
        <f t="shared" si="75"/>
        <v/>
      </c>
      <c r="H576" s="36" t="str">
        <f t="shared" si="76"/>
        <v/>
      </c>
      <c r="I576" s="37" t="str">
        <f ca="1">+IF(A576 &lt;= $L$2, (Full_Report!C656-'Internal Working'!C576),"")</f>
        <v/>
      </c>
      <c r="J576" s="37" t="str">
        <f t="shared" ca="1" si="70"/>
        <v>0</v>
      </c>
      <c r="K576" s="35" t="str">
        <f t="shared" si="71"/>
        <v>0</v>
      </c>
      <c r="L576" s="35" t="str">
        <f t="shared" si="69"/>
        <v/>
      </c>
      <c r="M576" s="2"/>
    </row>
    <row r="577" spans="1:13" x14ac:dyDescent="0.25">
      <c r="A577" s="1" t="str">
        <f>IF(OR(A576="",F576=0,A576=Refinance_Calculator!$C$29),"",A576+1)</f>
        <v/>
      </c>
      <c r="B577" s="3" t="str">
        <f t="shared" si="72"/>
        <v/>
      </c>
      <c r="C577" s="3" t="str">
        <f>IF(A577="","",(-PMT(Refinance_Calculator!$C$26/12,Refinance_Calculator!$C$29,Refinance_Calculator!$C$23,0,0)))</f>
        <v/>
      </c>
      <c r="D577" s="3" t="str">
        <f t="shared" si="73"/>
        <v/>
      </c>
      <c r="E577" s="3" t="str">
        <f>IF(A577="","",(-PPMT(Refinance_Calculator!$C$26/12,'Internal Working'!A577,Refinance_Calculator!$C$29,Refinance_Calculator!$C$23,0,0)))</f>
        <v/>
      </c>
      <c r="F577" s="3" t="str">
        <f t="shared" si="74"/>
        <v/>
      </c>
      <c r="G577" s="5" t="str">
        <f t="shared" si="75"/>
        <v/>
      </c>
      <c r="H577" s="36" t="str">
        <f t="shared" si="76"/>
        <v/>
      </c>
      <c r="I577" s="37" t="str">
        <f ca="1">+IF(A577 &lt;= $L$2, (Full_Report!C657-'Internal Working'!C577),"")</f>
        <v/>
      </c>
      <c r="J577" s="37" t="str">
        <f t="shared" ca="1" si="70"/>
        <v>0</v>
      </c>
      <c r="K577" s="35" t="str">
        <f t="shared" si="71"/>
        <v>0</v>
      </c>
      <c r="L577" s="35" t="str">
        <f t="shared" si="69"/>
        <v/>
      </c>
      <c r="M577" s="2"/>
    </row>
    <row r="578" spans="1:13" x14ac:dyDescent="0.25">
      <c r="A578" s="1" t="str">
        <f>IF(OR(A577="",F577=0,A577=Refinance_Calculator!$C$29),"",A577+1)</f>
        <v/>
      </c>
      <c r="B578" s="3" t="str">
        <f t="shared" si="72"/>
        <v/>
      </c>
      <c r="C578" s="3" t="str">
        <f>IF(A578="","",(-PMT(Refinance_Calculator!$C$26/12,Refinance_Calculator!$C$29,Refinance_Calculator!$C$23,0,0)))</f>
        <v/>
      </c>
      <c r="D578" s="3" t="str">
        <f t="shared" si="73"/>
        <v/>
      </c>
      <c r="E578" s="3" t="str">
        <f>IF(A578="","",(-PPMT(Refinance_Calculator!$C$26/12,'Internal Working'!A578,Refinance_Calculator!$C$29,Refinance_Calculator!$C$23,0,0)))</f>
        <v/>
      </c>
      <c r="F578" s="3" t="str">
        <f t="shared" si="74"/>
        <v/>
      </c>
      <c r="G578" s="5" t="str">
        <f t="shared" si="75"/>
        <v/>
      </c>
      <c r="H578" s="36" t="str">
        <f t="shared" si="76"/>
        <v/>
      </c>
      <c r="I578" s="37" t="str">
        <f ca="1">+IF(A578 &lt;= $L$2, (Full_Report!C658-'Internal Working'!C578),"")</f>
        <v/>
      </c>
      <c r="J578" s="37" t="str">
        <f t="shared" ca="1" si="70"/>
        <v>0</v>
      </c>
      <c r="K578" s="35" t="str">
        <f t="shared" si="71"/>
        <v>0</v>
      </c>
      <c r="L578" s="35" t="str">
        <f t="shared" si="69"/>
        <v/>
      </c>
      <c r="M578" s="2"/>
    </row>
    <row r="579" spans="1:13" x14ac:dyDescent="0.25">
      <c r="A579" s="1" t="str">
        <f>IF(OR(A578="",F578=0,A578=Refinance_Calculator!$C$29),"",A578+1)</f>
        <v/>
      </c>
      <c r="B579" s="3" t="str">
        <f t="shared" si="72"/>
        <v/>
      </c>
      <c r="C579" s="3" t="str">
        <f>IF(A579="","",(-PMT(Refinance_Calculator!$C$26/12,Refinance_Calculator!$C$29,Refinance_Calculator!$C$23,0,0)))</f>
        <v/>
      </c>
      <c r="D579" s="3" t="str">
        <f t="shared" si="73"/>
        <v/>
      </c>
      <c r="E579" s="3" t="str">
        <f>IF(A579="","",(-PPMT(Refinance_Calculator!$C$26/12,'Internal Working'!A579,Refinance_Calculator!$C$29,Refinance_Calculator!$C$23,0,0)))</f>
        <v/>
      </c>
      <c r="F579" s="3" t="str">
        <f t="shared" si="74"/>
        <v/>
      </c>
      <c r="G579" s="5" t="str">
        <f t="shared" si="75"/>
        <v/>
      </c>
      <c r="H579" s="36" t="str">
        <f t="shared" si="76"/>
        <v/>
      </c>
      <c r="I579" s="37" t="str">
        <f ca="1">+IF(A579 &lt;= $L$2, (Full_Report!C659-'Internal Working'!C579),"")</f>
        <v/>
      </c>
      <c r="J579" s="37" t="str">
        <f t="shared" ca="1" si="70"/>
        <v>0</v>
      </c>
      <c r="K579" s="35" t="str">
        <f t="shared" si="71"/>
        <v>0</v>
      </c>
      <c r="L579" s="35" t="str">
        <f t="shared" si="69"/>
        <v/>
      </c>
      <c r="M579" s="2"/>
    </row>
    <row r="580" spans="1:13" x14ac:dyDescent="0.25">
      <c r="A580" s="1" t="str">
        <f>IF(OR(A579="",F579=0,A579=Refinance_Calculator!$C$29),"",A579+1)</f>
        <v/>
      </c>
      <c r="B580" s="3" t="str">
        <f t="shared" si="72"/>
        <v/>
      </c>
      <c r="C580" s="3" t="str">
        <f>IF(A580="","",(-PMT(Refinance_Calculator!$C$26/12,Refinance_Calculator!$C$29,Refinance_Calculator!$C$23,0,0)))</f>
        <v/>
      </c>
      <c r="D580" s="3" t="str">
        <f t="shared" si="73"/>
        <v/>
      </c>
      <c r="E580" s="3" t="str">
        <f>IF(A580="","",(-PPMT(Refinance_Calculator!$C$26/12,'Internal Working'!A580,Refinance_Calculator!$C$29,Refinance_Calculator!$C$23,0,0)))</f>
        <v/>
      </c>
      <c r="F580" s="3" t="str">
        <f t="shared" si="74"/>
        <v/>
      </c>
      <c r="G580" s="5" t="str">
        <f t="shared" si="75"/>
        <v/>
      </c>
      <c r="H580" s="36" t="str">
        <f t="shared" si="76"/>
        <v/>
      </c>
      <c r="I580" s="37" t="str">
        <f ca="1">+IF(A580 &lt;= $L$2, (Full_Report!C660-'Internal Working'!C580),"")</f>
        <v/>
      </c>
      <c r="J580" s="37" t="str">
        <f t="shared" ca="1" si="70"/>
        <v>0</v>
      </c>
      <c r="K580" s="35" t="str">
        <f t="shared" si="71"/>
        <v>0</v>
      </c>
      <c r="L580" s="35" t="str">
        <f t="shared" si="69"/>
        <v/>
      </c>
      <c r="M580" s="2"/>
    </row>
    <row r="581" spans="1:13" x14ac:dyDescent="0.25">
      <c r="A581" s="1" t="str">
        <f>IF(OR(A580="",F580=0,A580=Refinance_Calculator!$C$29),"",A580+1)</f>
        <v/>
      </c>
      <c r="B581" s="3" t="str">
        <f t="shared" si="72"/>
        <v/>
      </c>
      <c r="C581" s="3" t="str">
        <f>IF(A581="","",(-PMT(Refinance_Calculator!$C$26/12,Refinance_Calculator!$C$29,Refinance_Calculator!$C$23,0,0)))</f>
        <v/>
      </c>
      <c r="D581" s="3" t="str">
        <f t="shared" si="73"/>
        <v/>
      </c>
      <c r="E581" s="3" t="str">
        <f>IF(A581="","",(-PPMT(Refinance_Calculator!$C$26/12,'Internal Working'!A581,Refinance_Calculator!$C$29,Refinance_Calculator!$C$23,0,0)))</f>
        <v/>
      </c>
      <c r="F581" s="3" t="str">
        <f t="shared" si="74"/>
        <v/>
      </c>
      <c r="G581" s="5" t="str">
        <f t="shared" si="75"/>
        <v/>
      </c>
      <c r="H581" s="36" t="str">
        <f t="shared" si="76"/>
        <v/>
      </c>
      <c r="I581" s="37" t="str">
        <f ca="1">+IF(A581 &lt;= $L$2, (Full_Report!C661-'Internal Working'!C581),"")</f>
        <v/>
      </c>
      <c r="J581" s="37" t="str">
        <f t="shared" ca="1" si="70"/>
        <v>0</v>
      </c>
      <c r="K581" s="35" t="str">
        <f t="shared" si="71"/>
        <v>0</v>
      </c>
      <c r="L581" s="35" t="str">
        <f t="shared" si="69"/>
        <v/>
      </c>
      <c r="M581" s="2"/>
    </row>
    <row r="582" spans="1:13" x14ac:dyDescent="0.25">
      <c r="A582" s="1" t="str">
        <f>IF(OR(A581="",F581=0,A581=Refinance_Calculator!$C$29),"",A581+1)</f>
        <v/>
      </c>
      <c r="B582" s="3" t="str">
        <f t="shared" si="72"/>
        <v/>
      </c>
      <c r="C582" s="3" t="str">
        <f>IF(A582="","",(-PMT(Refinance_Calculator!$C$26/12,Refinance_Calculator!$C$29,Refinance_Calculator!$C$23,0,0)))</f>
        <v/>
      </c>
      <c r="D582" s="3" t="str">
        <f t="shared" si="73"/>
        <v/>
      </c>
      <c r="E582" s="3" t="str">
        <f>IF(A582="","",(-PPMT(Refinance_Calculator!$C$26/12,'Internal Working'!A582,Refinance_Calculator!$C$29,Refinance_Calculator!$C$23,0,0)))</f>
        <v/>
      </c>
      <c r="F582" s="3" t="str">
        <f t="shared" si="74"/>
        <v/>
      </c>
      <c r="G582" s="5" t="str">
        <f t="shared" si="75"/>
        <v/>
      </c>
      <c r="H582" s="36" t="str">
        <f t="shared" si="76"/>
        <v/>
      </c>
      <c r="I582" s="37" t="str">
        <f ca="1">+IF(A582 &lt;= $L$2, (Full_Report!C662-'Internal Working'!C582),"")</f>
        <v/>
      </c>
      <c r="J582" s="37" t="str">
        <f t="shared" ca="1" si="70"/>
        <v>0</v>
      </c>
      <c r="K582" s="35" t="str">
        <f t="shared" si="71"/>
        <v>0</v>
      </c>
      <c r="L582" s="35" t="str">
        <f t="shared" si="69"/>
        <v/>
      </c>
      <c r="M582" s="2"/>
    </row>
    <row r="583" spans="1:13" x14ac:dyDescent="0.25">
      <c r="A583" s="1" t="str">
        <f>IF(OR(A582="",F582=0,A582=Refinance_Calculator!$C$29),"",A582+1)</f>
        <v/>
      </c>
      <c r="B583" s="3" t="str">
        <f t="shared" si="72"/>
        <v/>
      </c>
      <c r="C583" s="3" t="str">
        <f>IF(A583="","",(-PMT(Refinance_Calculator!$C$26/12,Refinance_Calculator!$C$29,Refinance_Calculator!$C$23,0,0)))</f>
        <v/>
      </c>
      <c r="D583" s="3" t="str">
        <f t="shared" si="73"/>
        <v/>
      </c>
      <c r="E583" s="3" t="str">
        <f>IF(A583="","",(-PPMT(Refinance_Calculator!$C$26/12,'Internal Working'!A583,Refinance_Calculator!$C$29,Refinance_Calculator!$C$23,0,0)))</f>
        <v/>
      </c>
      <c r="F583" s="3" t="str">
        <f t="shared" si="74"/>
        <v/>
      </c>
      <c r="G583" s="5" t="str">
        <f t="shared" si="75"/>
        <v/>
      </c>
      <c r="H583" s="36" t="str">
        <f t="shared" si="76"/>
        <v/>
      </c>
      <c r="I583" s="37" t="str">
        <f ca="1">+IF(A583 &lt;= $L$2, (Full_Report!C663-'Internal Working'!C583),"")</f>
        <v/>
      </c>
      <c r="J583" s="37" t="str">
        <f t="shared" ca="1" si="70"/>
        <v>0</v>
      </c>
      <c r="K583" s="35" t="str">
        <f t="shared" si="71"/>
        <v>0</v>
      </c>
      <c r="L583" s="35" t="str">
        <f t="shared" ref="L583:L644" si="77">+IF(A583 = "","",(J583+K583))</f>
        <v/>
      </c>
      <c r="M583" s="2"/>
    </row>
    <row r="584" spans="1:13" x14ac:dyDescent="0.25">
      <c r="A584" s="1" t="str">
        <f>IF(OR(A583="",F583=0,A583=Refinance_Calculator!$C$29),"",A583+1)</f>
        <v/>
      </c>
      <c r="B584" s="3" t="str">
        <f t="shared" si="72"/>
        <v/>
      </c>
      <c r="C584" s="3" t="str">
        <f>IF(A584="","",(-PMT(Refinance_Calculator!$C$26/12,Refinance_Calculator!$C$29,Refinance_Calculator!$C$23,0,0)))</f>
        <v/>
      </c>
      <c r="D584" s="3" t="str">
        <f t="shared" si="73"/>
        <v/>
      </c>
      <c r="E584" s="3" t="str">
        <f>IF(A584="","",(-PPMT(Refinance_Calculator!$C$26/12,'Internal Working'!A584,Refinance_Calculator!$C$29,Refinance_Calculator!$C$23,0,0)))</f>
        <v/>
      </c>
      <c r="F584" s="3" t="str">
        <f t="shared" si="74"/>
        <v/>
      </c>
      <c r="G584" s="5" t="str">
        <f t="shared" si="75"/>
        <v/>
      </c>
      <c r="H584" s="36" t="str">
        <f t="shared" si="76"/>
        <v/>
      </c>
      <c r="I584" s="37" t="str">
        <f ca="1">+IF(A584 &lt;= $L$2, (Full_Report!C664-'Internal Working'!C584),"")</f>
        <v/>
      </c>
      <c r="J584" s="37" t="str">
        <f t="shared" ref="J584:J644" ca="1" si="78">IF(I584="","0",(I584+J583))</f>
        <v>0</v>
      </c>
      <c r="K584" s="35" t="str">
        <f t="shared" ref="K584:K644" si="79">+IF(A584="","0",IF(A584&gt;$L$2,(K583-C584),"0"))</f>
        <v>0</v>
      </c>
      <c r="L584" s="35" t="str">
        <f t="shared" si="77"/>
        <v/>
      </c>
      <c r="M584" s="2"/>
    </row>
    <row r="585" spans="1:13" x14ac:dyDescent="0.25">
      <c r="A585" s="1" t="str">
        <f>IF(OR(A584="",F584=0,A584=Refinance_Calculator!$C$29),"",A584+1)</f>
        <v/>
      </c>
      <c r="B585" s="3" t="str">
        <f t="shared" si="72"/>
        <v/>
      </c>
      <c r="C585" s="3" t="str">
        <f>IF(A585="","",(-PMT(Refinance_Calculator!$C$26/12,Refinance_Calculator!$C$29,Refinance_Calculator!$C$23,0,0)))</f>
        <v/>
      </c>
      <c r="D585" s="3" t="str">
        <f t="shared" si="73"/>
        <v/>
      </c>
      <c r="E585" s="3" t="str">
        <f>IF(A585="","",(-PPMT(Refinance_Calculator!$C$26/12,'Internal Working'!A585,Refinance_Calculator!$C$29,Refinance_Calculator!$C$23,0,0)))</f>
        <v/>
      </c>
      <c r="F585" s="3" t="str">
        <f t="shared" si="74"/>
        <v/>
      </c>
      <c r="G585" s="5" t="str">
        <f t="shared" si="75"/>
        <v/>
      </c>
      <c r="H585" s="36" t="str">
        <f t="shared" si="76"/>
        <v/>
      </c>
      <c r="I585" s="37" t="str">
        <f ca="1">+IF(A585 &lt;= $L$2, (Full_Report!C665-'Internal Working'!C585),"")</f>
        <v/>
      </c>
      <c r="J585" s="37" t="str">
        <f t="shared" ca="1" si="78"/>
        <v>0</v>
      </c>
      <c r="K585" s="35" t="str">
        <f t="shared" si="79"/>
        <v>0</v>
      </c>
      <c r="L585" s="35" t="str">
        <f t="shared" si="77"/>
        <v/>
      </c>
      <c r="M585" s="2"/>
    </row>
    <row r="586" spans="1:13" x14ac:dyDescent="0.25">
      <c r="A586" s="1" t="str">
        <f>IF(OR(A585="",F585=0,A585=Refinance_Calculator!$C$29),"",A585+1)</f>
        <v/>
      </c>
      <c r="B586" s="3" t="str">
        <f t="shared" si="72"/>
        <v/>
      </c>
      <c r="C586" s="3" t="str">
        <f>IF(A586="","",(-PMT(Refinance_Calculator!$C$26/12,Refinance_Calculator!$C$29,Refinance_Calculator!$C$23,0,0)))</f>
        <v/>
      </c>
      <c r="D586" s="3" t="str">
        <f t="shared" si="73"/>
        <v/>
      </c>
      <c r="E586" s="3" t="str">
        <f>IF(A586="","",(-PPMT(Refinance_Calculator!$C$26/12,'Internal Working'!A586,Refinance_Calculator!$C$29,Refinance_Calculator!$C$23,0,0)))</f>
        <v/>
      </c>
      <c r="F586" s="3" t="str">
        <f t="shared" si="74"/>
        <v/>
      </c>
      <c r="G586" s="5" t="str">
        <f t="shared" si="75"/>
        <v/>
      </c>
      <c r="H586" s="36" t="str">
        <f t="shared" si="76"/>
        <v/>
      </c>
      <c r="I586" s="37" t="str">
        <f ca="1">+IF(A586 &lt;= $L$2, (Full_Report!C666-'Internal Working'!C586),"")</f>
        <v/>
      </c>
      <c r="J586" s="37" t="str">
        <f t="shared" ca="1" si="78"/>
        <v>0</v>
      </c>
      <c r="K586" s="35" t="str">
        <f t="shared" si="79"/>
        <v>0</v>
      </c>
      <c r="L586" s="35" t="str">
        <f t="shared" si="77"/>
        <v/>
      </c>
      <c r="M586" s="2"/>
    </row>
    <row r="587" spans="1:13" x14ac:dyDescent="0.25">
      <c r="A587" s="1" t="str">
        <f>IF(OR(A586="",F586=0,A586=Refinance_Calculator!$C$29),"",A586+1)</f>
        <v/>
      </c>
      <c r="B587" s="3" t="str">
        <f t="shared" si="72"/>
        <v/>
      </c>
      <c r="C587" s="3" t="str">
        <f>IF(A587="","",(-PMT(Refinance_Calculator!$C$26/12,Refinance_Calculator!$C$29,Refinance_Calculator!$C$23,0,0)))</f>
        <v/>
      </c>
      <c r="D587" s="3" t="str">
        <f t="shared" si="73"/>
        <v/>
      </c>
      <c r="E587" s="3" t="str">
        <f>IF(A587="","",(-PPMT(Refinance_Calculator!$C$26/12,'Internal Working'!A587,Refinance_Calculator!$C$29,Refinance_Calculator!$C$23,0,0)))</f>
        <v/>
      </c>
      <c r="F587" s="3" t="str">
        <f t="shared" si="74"/>
        <v/>
      </c>
      <c r="G587" s="5" t="str">
        <f t="shared" si="75"/>
        <v/>
      </c>
      <c r="H587" s="36" t="str">
        <f t="shared" si="76"/>
        <v/>
      </c>
      <c r="I587" s="37" t="str">
        <f ca="1">+IF(A587 &lt;= $L$2, (Full_Report!C667-'Internal Working'!C587),"")</f>
        <v/>
      </c>
      <c r="J587" s="37" t="str">
        <f t="shared" ca="1" si="78"/>
        <v>0</v>
      </c>
      <c r="K587" s="35" t="str">
        <f t="shared" si="79"/>
        <v>0</v>
      </c>
      <c r="L587" s="35" t="str">
        <f t="shared" si="77"/>
        <v/>
      </c>
      <c r="M587" s="2"/>
    </row>
    <row r="588" spans="1:13" x14ac:dyDescent="0.25">
      <c r="A588" s="1" t="str">
        <f>IF(OR(A587="",F587=0,A587=Refinance_Calculator!$C$29),"",A587+1)</f>
        <v/>
      </c>
      <c r="B588" s="3" t="str">
        <f t="shared" si="72"/>
        <v/>
      </c>
      <c r="C588" s="3" t="str">
        <f>IF(A588="","",(-PMT(Refinance_Calculator!$C$26/12,Refinance_Calculator!$C$29,Refinance_Calculator!$C$23,0,0)))</f>
        <v/>
      </c>
      <c r="D588" s="3" t="str">
        <f t="shared" si="73"/>
        <v/>
      </c>
      <c r="E588" s="3" t="str">
        <f>IF(A588="","",(-PPMT(Refinance_Calculator!$C$26/12,'Internal Working'!A588,Refinance_Calculator!$C$29,Refinance_Calculator!$C$23,0,0)))</f>
        <v/>
      </c>
      <c r="F588" s="3" t="str">
        <f t="shared" si="74"/>
        <v/>
      </c>
      <c r="G588" s="5" t="str">
        <f t="shared" si="75"/>
        <v/>
      </c>
      <c r="H588" s="36" t="str">
        <f t="shared" si="76"/>
        <v/>
      </c>
      <c r="I588" s="37" t="str">
        <f ca="1">+IF(A588 &lt;= $L$2, (Full_Report!C668-'Internal Working'!C588),"")</f>
        <v/>
      </c>
      <c r="J588" s="37" t="str">
        <f t="shared" ca="1" si="78"/>
        <v>0</v>
      </c>
      <c r="K588" s="35" t="str">
        <f t="shared" si="79"/>
        <v>0</v>
      </c>
      <c r="L588" s="35" t="str">
        <f t="shared" si="77"/>
        <v/>
      </c>
      <c r="M588" s="2"/>
    </row>
    <row r="589" spans="1:13" x14ac:dyDescent="0.25">
      <c r="A589" s="1" t="str">
        <f>IF(OR(A588="",F588=0,A588=Refinance_Calculator!$C$29),"",A588+1)</f>
        <v/>
      </c>
      <c r="B589" s="3" t="str">
        <f t="shared" si="72"/>
        <v/>
      </c>
      <c r="C589" s="3" t="str">
        <f>IF(A589="","",(-PMT(Refinance_Calculator!$C$26/12,Refinance_Calculator!$C$29,Refinance_Calculator!$C$23,0,0)))</f>
        <v/>
      </c>
      <c r="D589" s="3" t="str">
        <f t="shared" si="73"/>
        <v/>
      </c>
      <c r="E589" s="3" t="str">
        <f>IF(A589="","",(-PPMT(Refinance_Calculator!$C$26/12,'Internal Working'!A589,Refinance_Calculator!$C$29,Refinance_Calculator!$C$23,0,0)))</f>
        <v/>
      </c>
      <c r="F589" s="3" t="str">
        <f t="shared" si="74"/>
        <v/>
      </c>
      <c r="G589" s="5" t="str">
        <f t="shared" si="75"/>
        <v/>
      </c>
      <c r="H589" s="36" t="str">
        <f t="shared" si="76"/>
        <v/>
      </c>
      <c r="I589" s="37" t="str">
        <f ca="1">+IF(A589 &lt;= $L$2, (Full_Report!C669-'Internal Working'!C589),"")</f>
        <v/>
      </c>
      <c r="J589" s="37" t="str">
        <f t="shared" ca="1" si="78"/>
        <v>0</v>
      </c>
      <c r="K589" s="35" t="str">
        <f t="shared" si="79"/>
        <v>0</v>
      </c>
      <c r="L589" s="35" t="str">
        <f t="shared" si="77"/>
        <v/>
      </c>
      <c r="M589" s="2"/>
    </row>
    <row r="590" spans="1:13" x14ac:dyDescent="0.25">
      <c r="A590" s="1" t="str">
        <f>IF(OR(A589="",F589=0,A589=Refinance_Calculator!$C$29),"",A589+1)</f>
        <v/>
      </c>
      <c r="B590" s="3" t="str">
        <f t="shared" si="72"/>
        <v/>
      </c>
      <c r="C590" s="3" t="str">
        <f>IF(A590="","",(-PMT(Refinance_Calculator!$C$26/12,Refinance_Calculator!$C$29,Refinance_Calculator!$C$23,0,0)))</f>
        <v/>
      </c>
      <c r="D590" s="3" t="str">
        <f t="shared" si="73"/>
        <v/>
      </c>
      <c r="E590" s="3" t="str">
        <f>IF(A590="","",(-PPMT(Refinance_Calculator!$C$26/12,'Internal Working'!A590,Refinance_Calculator!$C$29,Refinance_Calculator!$C$23,0,0)))</f>
        <v/>
      </c>
      <c r="F590" s="3" t="str">
        <f t="shared" si="74"/>
        <v/>
      </c>
      <c r="G590" s="5" t="str">
        <f t="shared" si="75"/>
        <v/>
      </c>
      <c r="H590" s="36" t="str">
        <f t="shared" si="76"/>
        <v/>
      </c>
      <c r="I590" s="37" t="str">
        <f ca="1">+IF(A590 &lt;= $L$2, (Full_Report!C670-'Internal Working'!C590),"")</f>
        <v/>
      </c>
      <c r="J590" s="37" t="str">
        <f t="shared" ca="1" si="78"/>
        <v>0</v>
      </c>
      <c r="K590" s="35" t="str">
        <f t="shared" si="79"/>
        <v>0</v>
      </c>
      <c r="L590" s="35" t="str">
        <f t="shared" si="77"/>
        <v/>
      </c>
      <c r="M590" s="2"/>
    </row>
    <row r="591" spans="1:13" x14ac:dyDescent="0.25">
      <c r="A591" s="1" t="str">
        <f>IF(OR(A590="",F590=0,A590=Refinance_Calculator!$C$29),"",A590+1)</f>
        <v/>
      </c>
      <c r="B591" s="3" t="str">
        <f t="shared" si="72"/>
        <v/>
      </c>
      <c r="C591" s="3" t="str">
        <f>IF(A591="","",(-PMT(Refinance_Calculator!$C$26/12,Refinance_Calculator!$C$29,Refinance_Calculator!$C$23,0,0)))</f>
        <v/>
      </c>
      <c r="D591" s="3" t="str">
        <f t="shared" si="73"/>
        <v/>
      </c>
      <c r="E591" s="3" t="str">
        <f>IF(A591="","",(-PPMT(Refinance_Calculator!$C$26/12,'Internal Working'!A591,Refinance_Calculator!$C$29,Refinance_Calculator!$C$23,0,0)))</f>
        <v/>
      </c>
      <c r="F591" s="3" t="str">
        <f t="shared" si="74"/>
        <v/>
      </c>
      <c r="G591" s="5" t="str">
        <f t="shared" si="75"/>
        <v/>
      </c>
      <c r="H591" s="36" t="str">
        <f t="shared" si="76"/>
        <v/>
      </c>
      <c r="I591" s="37" t="str">
        <f ca="1">+IF(A591 &lt;= $L$2, (Full_Report!C671-'Internal Working'!C591),"")</f>
        <v/>
      </c>
      <c r="J591" s="37" t="str">
        <f t="shared" ca="1" si="78"/>
        <v>0</v>
      </c>
      <c r="K591" s="35" t="str">
        <f t="shared" si="79"/>
        <v>0</v>
      </c>
      <c r="L591" s="35" t="str">
        <f t="shared" si="77"/>
        <v/>
      </c>
      <c r="M591" s="2"/>
    </row>
    <row r="592" spans="1:13" x14ac:dyDescent="0.25">
      <c r="A592" s="1" t="str">
        <f>IF(OR(A591="",F591=0,A591=Refinance_Calculator!$C$29),"",A591+1)</f>
        <v/>
      </c>
      <c r="B592" s="3" t="str">
        <f t="shared" si="72"/>
        <v/>
      </c>
      <c r="C592" s="3" t="str">
        <f>IF(A592="","",(-PMT(Refinance_Calculator!$C$26/12,Refinance_Calculator!$C$29,Refinance_Calculator!$C$23,0,0)))</f>
        <v/>
      </c>
      <c r="D592" s="3" t="str">
        <f t="shared" si="73"/>
        <v/>
      </c>
      <c r="E592" s="3" t="str">
        <f>IF(A592="","",(-PPMT(Refinance_Calculator!$C$26/12,'Internal Working'!A592,Refinance_Calculator!$C$29,Refinance_Calculator!$C$23,0,0)))</f>
        <v/>
      </c>
      <c r="F592" s="3" t="str">
        <f t="shared" si="74"/>
        <v/>
      </c>
      <c r="G592" s="5" t="str">
        <f t="shared" si="75"/>
        <v/>
      </c>
      <c r="H592" s="36" t="str">
        <f t="shared" si="76"/>
        <v/>
      </c>
      <c r="I592" s="37" t="str">
        <f ca="1">+IF(A592 &lt;= $L$2, (Full_Report!C672-'Internal Working'!C592),"")</f>
        <v/>
      </c>
      <c r="J592" s="37" t="str">
        <f t="shared" ca="1" si="78"/>
        <v>0</v>
      </c>
      <c r="K592" s="35" t="str">
        <f t="shared" si="79"/>
        <v>0</v>
      </c>
      <c r="L592" s="35" t="str">
        <f t="shared" si="77"/>
        <v/>
      </c>
      <c r="M592" s="2"/>
    </row>
    <row r="593" spans="1:13" x14ac:dyDescent="0.25">
      <c r="A593" s="1" t="str">
        <f>IF(OR(A592="",F592=0,A592=Refinance_Calculator!$C$29),"",A592+1)</f>
        <v/>
      </c>
      <c r="B593" s="3" t="str">
        <f t="shared" si="72"/>
        <v/>
      </c>
      <c r="C593" s="3" t="str">
        <f>IF(A593="","",(-PMT(Refinance_Calculator!$C$26/12,Refinance_Calculator!$C$29,Refinance_Calculator!$C$23,0,0)))</f>
        <v/>
      </c>
      <c r="D593" s="3" t="str">
        <f t="shared" si="73"/>
        <v/>
      </c>
      <c r="E593" s="3" t="str">
        <f>IF(A593="","",(-PPMT(Refinance_Calculator!$C$26/12,'Internal Working'!A593,Refinance_Calculator!$C$29,Refinance_Calculator!$C$23,0,0)))</f>
        <v/>
      </c>
      <c r="F593" s="3" t="str">
        <f t="shared" si="74"/>
        <v/>
      </c>
      <c r="G593" s="5" t="str">
        <f t="shared" si="75"/>
        <v/>
      </c>
      <c r="H593" s="36" t="str">
        <f t="shared" si="76"/>
        <v/>
      </c>
      <c r="I593" s="37" t="str">
        <f ca="1">+IF(A593 &lt;= $L$2, (Full_Report!C673-'Internal Working'!C593),"")</f>
        <v/>
      </c>
      <c r="J593" s="37" t="str">
        <f t="shared" ca="1" si="78"/>
        <v>0</v>
      </c>
      <c r="K593" s="35" t="str">
        <f t="shared" si="79"/>
        <v>0</v>
      </c>
      <c r="L593" s="35" t="str">
        <f t="shared" si="77"/>
        <v/>
      </c>
      <c r="M593" s="2"/>
    </row>
    <row r="594" spans="1:13" x14ac:dyDescent="0.25">
      <c r="A594" s="1" t="str">
        <f>IF(OR(A593="",F593=0,A593=Refinance_Calculator!$C$29),"",A593+1)</f>
        <v/>
      </c>
      <c r="B594" s="3" t="str">
        <f t="shared" ref="B594:B644" si="80">IF(A594="","",(F593))</f>
        <v/>
      </c>
      <c r="C594" s="3" t="str">
        <f>IF(A594="","",(-PMT(Refinance_Calculator!$C$26/12,Refinance_Calculator!$C$29,Refinance_Calculator!$C$23,0,0)))</f>
        <v/>
      </c>
      <c r="D594" s="3" t="str">
        <f t="shared" ref="D594:D644" si="81">+IF(A594="","",(C594-E594))</f>
        <v/>
      </c>
      <c r="E594" s="3" t="str">
        <f>IF(A594="","",(-PPMT(Refinance_Calculator!$C$26/12,'Internal Working'!A594,Refinance_Calculator!$C$29,Refinance_Calculator!$C$23,0,0)))</f>
        <v/>
      </c>
      <c r="F594" s="3" t="str">
        <f t="shared" ref="F594:F644" si="82">+IF(A594="","",(B594-E594))</f>
        <v/>
      </c>
      <c r="G594" s="5" t="str">
        <f t="shared" ref="G594:G644" si="83">+E594</f>
        <v/>
      </c>
      <c r="H594" s="36" t="str">
        <f t="shared" ref="H594:H644" si="84">+D594</f>
        <v/>
      </c>
      <c r="I594" s="37" t="str">
        <f ca="1">+IF(A594 &lt;= $L$2, (Full_Report!C674-'Internal Working'!C594),"")</f>
        <v/>
      </c>
      <c r="J594" s="37" t="str">
        <f t="shared" ca="1" si="78"/>
        <v>0</v>
      </c>
      <c r="K594" s="35" t="str">
        <f t="shared" si="79"/>
        <v>0</v>
      </c>
      <c r="L594" s="35" t="str">
        <f t="shared" si="77"/>
        <v/>
      </c>
      <c r="M594" s="2"/>
    </row>
    <row r="595" spans="1:13" x14ac:dyDescent="0.25">
      <c r="A595" s="1" t="str">
        <f>IF(OR(A594="",F594=0,A594=Refinance_Calculator!$C$29),"",A594+1)</f>
        <v/>
      </c>
      <c r="B595" s="3" t="str">
        <f t="shared" si="80"/>
        <v/>
      </c>
      <c r="C595" s="3" t="str">
        <f>IF(A595="","",(-PMT(Refinance_Calculator!$C$26/12,Refinance_Calculator!$C$29,Refinance_Calculator!$C$23,0,0)))</f>
        <v/>
      </c>
      <c r="D595" s="3" t="str">
        <f t="shared" si="81"/>
        <v/>
      </c>
      <c r="E595" s="3" t="str">
        <f>IF(A595="","",(-PPMT(Refinance_Calculator!$C$26/12,'Internal Working'!A595,Refinance_Calculator!$C$29,Refinance_Calculator!$C$23,0,0)))</f>
        <v/>
      </c>
      <c r="F595" s="3" t="str">
        <f t="shared" si="82"/>
        <v/>
      </c>
      <c r="G595" s="5" t="str">
        <f t="shared" si="83"/>
        <v/>
      </c>
      <c r="H595" s="36" t="str">
        <f t="shared" si="84"/>
        <v/>
      </c>
      <c r="I595" s="37" t="str">
        <f ca="1">+IF(A595 &lt;= $L$2, (Full_Report!C675-'Internal Working'!C595),"")</f>
        <v/>
      </c>
      <c r="J595" s="37" t="str">
        <f t="shared" ca="1" si="78"/>
        <v>0</v>
      </c>
      <c r="K595" s="35" t="str">
        <f t="shared" si="79"/>
        <v>0</v>
      </c>
      <c r="L595" s="35" t="str">
        <f t="shared" si="77"/>
        <v/>
      </c>
      <c r="M595" s="2"/>
    </row>
    <row r="596" spans="1:13" x14ac:dyDescent="0.25">
      <c r="A596" s="1" t="str">
        <f>IF(OR(A595="",F595=0,A595=Refinance_Calculator!$C$29),"",A595+1)</f>
        <v/>
      </c>
      <c r="B596" s="3" t="str">
        <f t="shared" si="80"/>
        <v/>
      </c>
      <c r="C596" s="3" t="str">
        <f>IF(A596="","",(-PMT(Refinance_Calculator!$C$26/12,Refinance_Calculator!$C$29,Refinance_Calculator!$C$23,0,0)))</f>
        <v/>
      </c>
      <c r="D596" s="3" t="str">
        <f t="shared" si="81"/>
        <v/>
      </c>
      <c r="E596" s="3" t="str">
        <f>IF(A596="","",(-PPMT(Refinance_Calculator!$C$26/12,'Internal Working'!A596,Refinance_Calculator!$C$29,Refinance_Calculator!$C$23,0,0)))</f>
        <v/>
      </c>
      <c r="F596" s="3" t="str">
        <f t="shared" si="82"/>
        <v/>
      </c>
      <c r="G596" s="5" t="str">
        <f t="shared" si="83"/>
        <v/>
      </c>
      <c r="H596" s="36" t="str">
        <f t="shared" si="84"/>
        <v/>
      </c>
      <c r="I596" s="37" t="str">
        <f ca="1">+IF(A596 &lt;= $L$2, (Full_Report!C676-'Internal Working'!C596),"")</f>
        <v/>
      </c>
      <c r="J596" s="37" t="str">
        <f t="shared" ca="1" si="78"/>
        <v>0</v>
      </c>
      <c r="K596" s="35" t="str">
        <f t="shared" si="79"/>
        <v>0</v>
      </c>
      <c r="L596" s="35" t="str">
        <f t="shared" si="77"/>
        <v/>
      </c>
      <c r="M596" s="2"/>
    </row>
    <row r="597" spans="1:13" x14ac:dyDescent="0.25">
      <c r="A597" s="1" t="str">
        <f>IF(OR(A596="",F596=0,A596=Refinance_Calculator!$C$29),"",A596+1)</f>
        <v/>
      </c>
      <c r="B597" s="3" t="str">
        <f t="shared" si="80"/>
        <v/>
      </c>
      <c r="C597" s="3" t="str">
        <f>IF(A597="","",(-PMT(Refinance_Calculator!$C$26/12,Refinance_Calculator!$C$29,Refinance_Calculator!$C$23,0,0)))</f>
        <v/>
      </c>
      <c r="D597" s="3" t="str">
        <f t="shared" si="81"/>
        <v/>
      </c>
      <c r="E597" s="3" t="str">
        <f>IF(A597="","",(-PPMT(Refinance_Calculator!$C$26/12,'Internal Working'!A597,Refinance_Calculator!$C$29,Refinance_Calculator!$C$23,0,0)))</f>
        <v/>
      </c>
      <c r="F597" s="3" t="str">
        <f t="shared" si="82"/>
        <v/>
      </c>
      <c r="G597" s="5" t="str">
        <f t="shared" si="83"/>
        <v/>
      </c>
      <c r="H597" s="36" t="str">
        <f t="shared" si="84"/>
        <v/>
      </c>
      <c r="I597" s="37" t="str">
        <f ca="1">+IF(A597 &lt;= $L$2, (Full_Report!C677-'Internal Working'!C597),"")</f>
        <v/>
      </c>
      <c r="J597" s="37" t="str">
        <f t="shared" ca="1" si="78"/>
        <v>0</v>
      </c>
      <c r="K597" s="35" t="str">
        <f t="shared" si="79"/>
        <v>0</v>
      </c>
      <c r="L597" s="35" t="str">
        <f t="shared" si="77"/>
        <v/>
      </c>
      <c r="M597" s="2"/>
    </row>
    <row r="598" spans="1:13" x14ac:dyDescent="0.25">
      <c r="A598" s="1" t="str">
        <f>IF(OR(A597="",F597=0,A597=Refinance_Calculator!$C$29),"",A597+1)</f>
        <v/>
      </c>
      <c r="B598" s="3" t="str">
        <f t="shared" si="80"/>
        <v/>
      </c>
      <c r="C598" s="3" t="str">
        <f>IF(A598="","",(-PMT(Refinance_Calculator!$C$26/12,Refinance_Calculator!$C$29,Refinance_Calculator!$C$23,0,0)))</f>
        <v/>
      </c>
      <c r="D598" s="3" t="str">
        <f t="shared" si="81"/>
        <v/>
      </c>
      <c r="E598" s="3" t="str">
        <f>IF(A598="","",(-PPMT(Refinance_Calculator!$C$26/12,'Internal Working'!A598,Refinance_Calculator!$C$29,Refinance_Calculator!$C$23,0,0)))</f>
        <v/>
      </c>
      <c r="F598" s="3" t="str">
        <f t="shared" si="82"/>
        <v/>
      </c>
      <c r="G598" s="5" t="str">
        <f t="shared" si="83"/>
        <v/>
      </c>
      <c r="H598" s="36" t="str">
        <f t="shared" si="84"/>
        <v/>
      </c>
      <c r="I598" s="37" t="str">
        <f ca="1">+IF(A598 &lt;= $L$2, (Full_Report!C678-'Internal Working'!C598),"")</f>
        <v/>
      </c>
      <c r="J598" s="37" t="str">
        <f t="shared" ca="1" si="78"/>
        <v>0</v>
      </c>
      <c r="K598" s="35" t="str">
        <f t="shared" si="79"/>
        <v>0</v>
      </c>
      <c r="L598" s="35" t="str">
        <f t="shared" si="77"/>
        <v/>
      </c>
      <c r="M598" s="2"/>
    </row>
    <row r="599" spans="1:13" x14ac:dyDescent="0.25">
      <c r="A599" s="1" t="str">
        <f>IF(OR(A598="",F598=0,A598=Refinance_Calculator!$C$29),"",A598+1)</f>
        <v/>
      </c>
      <c r="B599" s="3" t="str">
        <f t="shared" si="80"/>
        <v/>
      </c>
      <c r="C599" s="3" t="str">
        <f>IF(A599="","",(-PMT(Refinance_Calculator!$C$26/12,Refinance_Calculator!$C$29,Refinance_Calculator!$C$23,0,0)))</f>
        <v/>
      </c>
      <c r="D599" s="3" t="str">
        <f t="shared" si="81"/>
        <v/>
      </c>
      <c r="E599" s="3" t="str">
        <f>IF(A599="","",(-PPMT(Refinance_Calculator!$C$26/12,'Internal Working'!A599,Refinance_Calculator!$C$29,Refinance_Calculator!$C$23,0,0)))</f>
        <v/>
      </c>
      <c r="F599" s="3" t="str">
        <f t="shared" si="82"/>
        <v/>
      </c>
      <c r="G599" s="5" t="str">
        <f t="shared" si="83"/>
        <v/>
      </c>
      <c r="H599" s="36" t="str">
        <f t="shared" si="84"/>
        <v/>
      </c>
      <c r="I599" s="37" t="str">
        <f ca="1">+IF(A599 &lt;= $L$2, (Full_Report!C679-'Internal Working'!C599),"")</f>
        <v/>
      </c>
      <c r="J599" s="37" t="str">
        <f t="shared" ca="1" si="78"/>
        <v>0</v>
      </c>
      <c r="K599" s="35" t="str">
        <f t="shared" si="79"/>
        <v>0</v>
      </c>
      <c r="L599" s="35" t="str">
        <f t="shared" si="77"/>
        <v/>
      </c>
      <c r="M599" s="2"/>
    </row>
    <row r="600" spans="1:13" x14ac:dyDescent="0.25">
      <c r="A600" s="1" t="str">
        <f>IF(OR(A599="",F599=0,A599=Refinance_Calculator!$C$29),"",A599+1)</f>
        <v/>
      </c>
      <c r="B600" s="3" t="str">
        <f t="shared" si="80"/>
        <v/>
      </c>
      <c r="C600" s="3" t="str">
        <f>IF(A600="","",(-PMT(Refinance_Calculator!$C$26/12,Refinance_Calculator!$C$29,Refinance_Calculator!$C$23,0,0)))</f>
        <v/>
      </c>
      <c r="D600" s="3" t="str">
        <f t="shared" si="81"/>
        <v/>
      </c>
      <c r="E600" s="3" t="str">
        <f>IF(A600="","",(-PPMT(Refinance_Calculator!$C$26/12,'Internal Working'!A600,Refinance_Calculator!$C$29,Refinance_Calculator!$C$23,0,0)))</f>
        <v/>
      </c>
      <c r="F600" s="3" t="str">
        <f t="shared" si="82"/>
        <v/>
      </c>
      <c r="G600" s="5" t="str">
        <f t="shared" si="83"/>
        <v/>
      </c>
      <c r="H600" s="36" t="str">
        <f t="shared" si="84"/>
        <v/>
      </c>
      <c r="I600" s="37" t="str">
        <f ca="1">+IF(A600 &lt;= $L$2, (Full_Report!C680-'Internal Working'!C600),"")</f>
        <v/>
      </c>
      <c r="J600" s="37" t="str">
        <f t="shared" ca="1" si="78"/>
        <v>0</v>
      </c>
      <c r="K600" s="35" t="str">
        <f t="shared" si="79"/>
        <v>0</v>
      </c>
      <c r="L600" s="35" t="str">
        <f t="shared" si="77"/>
        <v/>
      </c>
      <c r="M600" s="2"/>
    </row>
    <row r="601" spans="1:13" x14ac:dyDescent="0.25">
      <c r="A601" s="1" t="str">
        <f>IF(OR(A600="",F600=0,A600=Refinance_Calculator!$C$29),"",A600+1)</f>
        <v/>
      </c>
      <c r="B601" s="3" t="str">
        <f t="shared" si="80"/>
        <v/>
      </c>
      <c r="C601" s="3" t="str">
        <f>IF(A601="","",(-PMT(Refinance_Calculator!$C$26/12,Refinance_Calculator!$C$29,Refinance_Calculator!$C$23,0,0)))</f>
        <v/>
      </c>
      <c r="D601" s="3" t="str">
        <f t="shared" si="81"/>
        <v/>
      </c>
      <c r="E601" s="3" t="str">
        <f>IF(A601="","",(-PPMT(Refinance_Calculator!$C$26/12,'Internal Working'!A601,Refinance_Calculator!$C$29,Refinance_Calculator!$C$23,0,0)))</f>
        <v/>
      </c>
      <c r="F601" s="3" t="str">
        <f t="shared" si="82"/>
        <v/>
      </c>
      <c r="G601" s="5" t="str">
        <f t="shared" si="83"/>
        <v/>
      </c>
      <c r="H601" s="36" t="str">
        <f t="shared" si="84"/>
        <v/>
      </c>
      <c r="I601" s="37" t="str">
        <f ca="1">+IF(A601 &lt;= $L$2, (Full_Report!C681-'Internal Working'!C601),"")</f>
        <v/>
      </c>
      <c r="J601" s="37" t="str">
        <f t="shared" ca="1" si="78"/>
        <v>0</v>
      </c>
      <c r="K601" s="35" t="str">
        <f t="shared" si="79"/>
        <v>0</v>
      </c>
      <c r="L601" s="35" t="str">
        <f t="shared" si="77"/>
        <v/>
      </c>
      <c r="M601" s="2"/>
    </row>
    <row r="602" spans="1:13" x14ac:dyDescent="0.25">
      <c r="A602" s="1" t="str">
        <f>IF(OR(A601="",F601=0,A601=Refinance_Calculator!$C$29),"",A601+1)</f>
        <v/>
      </c>
      <c r="B602" s="3" t="str">
        <f t="shared" si="80"/>
        <v/>
      </c>
      <c r="C602" s="3" t="str">
        <f>IF(A602="","",(-PMT(Refinance_Calculator!$C$26/12,Refinance_Calculator!$C$29,Refinance_Calculator!$C$23,0,0)))</f>
        <v/>
      </c>
      <c r="D602" s="3" t="str">
        <f t="shared" si="81"/>
        <v/>
      </c>
      <c r="E602" s="3" t="str">
        <f>IF(A602="","",(-PPMT(Refinance_Calculator!$C$26/12,'Internal Working'!A602,Refinance_Calculator!$C$29,Refinance_Calculator!$C$23,0,0)))</f>
        <v/>
      </c>
      <c r="F602" s="3" t="str">
        <f t="shared" si="82"/>
        <v/>
      </c>
      <c r="G602" s="5" t="str">
        <f t="shared" si="83"/>
        <v/>
      </c>
      <c r="H602" s="36" t="str">
        <f t="shared" si="84"/>
        <v/>
      </c>
      <c r="I602" s="37" t="str">
        <f ca="1">+IF(A602 &lt;= $L$2, (Full_Report!C682-'Internal Working'!C602),"")</f>
        <v/>
      </c>
      <c r="J602" s="37" t="str">
        <f t="shared" ca="1" si="78"/>
        <v>0</v>
      </c>
      <c r="K602" s="35" t="str">
        <f t="shared" si="79"/>
        <v>0</v>
      </c>
      <c r="L602" s="35" t="str">
        <f t="shared" si="77"/>
        <v/>
      </c>
      <c r="M602" s="2"/>
    </row>
    <row r="603" spans="1:13" x14ac:dyDescent="0.25">
      <c r="A603" s="1" t="str">
        <f>IF(OR(A602="",F602=0,A602=Refinance_Calculator!$C$29),"",A602+1)</f>
        <v/>
      </c>
      <c r="B603" s="3" t="str">
        <f t="shared" si="80"/>
        <v/>
      </c>
      <c r="C603" s="3" t="str">
        <f>IF(A603="","",(-PMT(Refinance_Calculator!$C$26/12,Refinance_Calculator!$C$29,Refinance_Calculator!$C$23,0,0)))</f>
        <v/>
      </c>
      <c r="D603" s="3" t="str">
        <f t="shared" si="81"/>
        <v/>
      </c>
      <c r="E603" s="3" t="str">
        <f>IF(A603="","",(-PPMT(Refinance_Calculator!$C$26/12,'Internal Working'!A603,Refinance_Calculator!$C$29,Refinance_Calculator!$C$23,0,0)))</f>
        <v/>
      </c>
      <c r="F603" s="3" t="str">
        <f t="shared" si="82"/>
        <v/>
      </c>
      <c r="G603" s="5" t="str">
        <f t="shared" si="83"/>
        <v/>
      </c>
      <c r="H603" s="36" t="str">
        <f t="shared" si="84"/>
        <v/>
      </c>
      <c r="I603" s="37" t="str">
        <f ca="1">+IF(A603 &lt;= $L$2, (Full_Report!C683-'Internal Working'!C603),"")</f>
        <v/>
      </c>
      <c r="J603" s="37" t="str">
        <f t="shared" ca="1" si="78"/>
        <v>0</v>
      </c>
      <c r="K603" s="35" t="str">
        <f t="shared" si="79"/>
        <v>0</v>
      </c>
      <c r="L603" s="35" t="str">
        <f t="shared" si="77"/>
        <v/>
      </c>
      <c r="M603" s="2"/>
    </row>
    <row r="604" spans="1:13" x14ac:dyDescent="0.25">
      <c r="A604" s="1" t="str">
        <f>IF(OR(A603="",F603=0,A603=Refinance_Calculator!$C$29),"",A603+1)</f>
        <v/>
      </c>
      <c r="B604" s="3" t="str">
        <f t="shared" si="80"/>
        <v/>
      </c>
      <c r="C604" s="3" t="str">
        <f>IF(A604="","",(-PMT(Refinance_Calculator!$C$26/12,Refinance_Calculator!$C$29,Refinance_Calculator!$C$23,0,0)))</f>
        <v/>
      </c>
      <c r="D604" s="3" t="str">
        <f t="shared" si="81"/>
        <v/>
      </c>
      <c r="E604" s="3" t="str">
        <f>IF(A604="","",(-PPMT(Refinance_Calculator!$C$26/12,'Internal Working'!A604,Refinance_Calculator!$C$29,Refinance_Calculator!$C$23,0,0)))</f>
        <v/>
      </c>
      <c r="F604" s="3" t="str">
        <f t="shared" si="82"/>
        <v/>
      </c>
      <c r="G604" s="5" t="str">
        <f t="shared" si="83"/>
        <v/>
      </c>
      <c r="H604" s="36" t="str">
        <f t="shared" si="84"/>
        <v/>
      </c>
      <c r="I604" s="37" t="str">
        <f ca="1">+IF(A604 &lt;= $L$2, (Full_Report!C684-'Internal Working'!C604),"")</f>
        <v/>
      </c>
      <c r="J604" s="37" t="str">
        <f t="shared" ca="1" si="78"/>
        <v>0</v>
      </c>
      <c r="K604" s="35" t="str">
        <f t="shared" si="79"/>
        <v>0</v>
      </c>
      <c r="L604" s="35" t="str">
        <f t="shared" si="77"/>
        <v/>
      </c>
      <c r="M604" s="2"/>
    </row>
    <row r="605" spans="1:13" x14ac:dyDescent="0.25">
      <c r="A605" s="1" t="str">
        <f>IF(OR(A604="",F604=0,A604=Refinance_Calculator!$C$29),"",A604+1)</f>
        <v/>
      </c>
      <c r="B605" s="3" t="str">
        <f t="shared" si="80"/>
        <v/>
      </c>
      <c r="C605" s="3" t="str">
        <f>IF(A605="","",(-PMT(Refinance_Calculator!$C$26/12,Refinance_Calculator!$C$29,Refinance_Calculator!$C$23,0,0)))</f>
        <v/>
      </c>
      <c r="D605" s="3" t="str">
        <f t="shared" si="81"/>
        <v/>
      </c>
      <c r="E605" s="3" t="str">
        <f>IF(A605="","",(-PPMT(Refinance_Calculator!$C$26/12,'Internal Working'!A605,Refinance_Calculator!$C$29,Refinance_Calculator!$C$23,0,0)))</f>
        <v/>
      </c>
      <c r="F605" s="3" t="str">
        <f t="shared" si="82"/>
        <v/>
      </c>
      <c r="G605" s="5" t="str">
        <f t="shared" si="83"/>
        <v/>
      </c>
      <c r="H605" s="36" t="str">
        <f t="shared" si="84"/>
        <v/>
      </c>
      <c r="I605" s="37" t="str">
        <f ca="1">+IF(A605 &lt;= $L$2, (Full_Report!C685-'Internal Working'!C605),"")</f>
        <v/>
      </c>
      <c r="J605" s="37" t="str">
        <f t="shared" ca="1" si="78"/>
        <v>0</v>
      </c>
      <c r="K605" s="35" t="str">
        <f t="shared" si="79"/>
        <v>0</v>
      </c>
      <c r="L605" s="35" t="str">
        <f t="shared" si="77"/>
        <v/>
      </c>
      <c r="M605" s="2"/>
    </row>
    <row r="606" spans="1:13" x14ac:dyDescent="0.25">
      <c r="A606" s="1" t="str">
        <f>IF(OR(A605="",F605=0,A605=Refinance_Calculator!$C$29),"",A605+1)</f>
        <v/>
      </c>
      <c r="B606" s="3" t="str">
        <f t="shared" si="80"/>
        <v/>
      </c>
      <c r="C606" s="3" t="str">
        <f>IF(A606="","",(-PMT(Refinance_Calculator!$C$26/12,Refinance_Calculator!$C$29,Refinance_Calculator!$C$23,0,0)))</f>
        <v/>
      </c>
      <c r="D606" s="3" t="str">
        <f t="shared" si="81"/>
        <v/>
      </c>
      <c r="E606" s="3" t="str">
        <f>IF(A606="","",(-PPMT(Refinance_Calculator!$C$26/12,'Internal Working'!A606,Refinance_Calculator!$C$29,Refinance_Calculator!$C$23,0,0)))</f>
        <v/>
      </c>
      <c r="F606" s="3" t="str">
        <f t="shared" si="82"/>
        <v/>
      </c>
      <c r="G606" s="5" t="str">
        <f t="shared" si="83"/>
        <v/>
      </c>
      <c r="H606" s="36" t="str">
        <f t="shared" si="84"/>
        <v/>
      </c>
      <c r="I606" s="37" t="str">
        <f ca="1">+IF(A606 &lt;= $L$2, (Full_Report!C686-'Internal Working'!C606),"")</f>
        <v/>
      </c>
      <c r="J606" s="37" t="str">
        <f t="shared" ca="1" si="78"/>
        <v>0</v>
      </c>
      <c r="K606" s="35" t="str">
        <f t="shared" si="79"/>
        <v>0</v>
      </c>
      <c r="L606" s="35" t="str">
        <f t="shared" si="77"/>
        <v/>
      </c>
      <c r="M606" s="2"/>
    </row>
    <row r="607" spans="1:13" x14ac:dyDescent="0.25">
      <c r="A607" s="1" t="str">
        <f>IF(OR(A606="",F606=0,A606=Refinance_Calculator!$C$29),"",A606+1)</f>
        <v/>
      </c>
      <c r="B607" s="3" t="str">
        <f t="shared" si="80"/>
        <v/>
      </c>
      <c r="C607" s="3" t="str">
        <f>IF(A607="","",(-PMT(Refinance_Calculator!$C$26/12,Refinance_Calculator!$C$29,Refinance_Calculator!$C$23,0,0)))</f>
        <v/>
      </c>
      <c r="D607" s="3" t="str">
        <f t="shared" si="81"/>
        <v/>
      </c>
      <c r="E607" s="3" t="str">
        <f>IF(A607="","",(-PPMT(Refinance_Calculator!$C$26/12,'Internal Working'!A607,Refinance_Calculator!$C$29,Refinance_Calculator!$C$23,0,0)))</f>
        <v/>
      </c>
      <c r="F607" s="3" t="str">
        <f t="shared" si="82"/>
        <v/>
      </c>
      <c r="G607" s="5" t="str">
        <f t="shared" si="83"/>
        <v/>
      </c>
      <c r="H607" s="36" t="str">
        <f t="shared" si="84"/>
        <v/>
      </c>
      <c r="I607" s="37" t="str">
        <f ca="1">+IF(A607 &lt;= $L$2, (Full_Report!C687-'Internal Working'!C607),"")</f>
        <v/>
      </c>
      <c r="J607" s="37" t="str">
        <f t="shared" ca="1" si="78"/>
        <v>0</v>
      </c>
      <c r="K607" s="35" t="str">
        <f t="shared" si="79"/>
        <v>0</v>
      </c>
      <c r="L607" s="35" t="str">
        <f t="shared" si="77"/>
        <v/>
      </c>
      <c r="M607" s="2"/>
    </row>
    <row r="608" spans="1:13" x14ac:dyDescent="0.25">
      <c r="A608" s="1" t="str">
        <f>IF(OR(A607="",F607=0,A607=Refinance_Calculator!$C$29),"",A607+1)</f>
        <v/>
      </c>
      <c r="B608" s="3" t="str">
        <f t="shared" si="80"/>
        <v/>
      </c>
      <c r="C608" s="3" t="str">
        <f>IF(A608="","",(-PMT(Refinance_Calculator!$C$26/12,Refinance_Calculator!$C$29,Refinance_Calculator!$C$23,0,0)))</f>
        <v/>
      </c>
      <c r="D608" s="3" t="str">
        <f t="shared" si="81"/>
        <v/>
      </c>
      <c r="E608" s="3" t="str">
        <f>IF(A608="","",(-PPMT(Refinance_Calculator!$C$26/12,'Internal Working'!A608,Refinance_Calculator!$C$29,Refinance_Calculator!$C$23,0,0)))</f>
        <v/>
      </c>
      <c r="F608" s="3" t="str">
        <f t="shared" si="82"/>
        <v/>
      </c>
      <c r="G608" s="5" t="str">
        <f t="shared" si="83"/>
        <v/>
      </c>
      <c r="H608" s="36" t="str">
        <f t="shared" si="84"/>
        <v/>
      </c>
      <c r="I608" s="37" t="str">
        <f ca="1">+IF(A608 &lt;= $L$2, (Full_Report!C688-'Internal Working'!C608),"")</f>
        <v/>
      </c>
      <c r="J608" s="37" t="str">
        <f t="shared" ca="1" si="78"/>
        <v>0</v>
      </c>
      <c r="K608" s="35" t="str">
        <f t="shared" si="79"/>
        <v>0</v>
      </c>
      <c r="L608" s="35" t="str">
        <f t="shared" si="77"/>
        <v/>
      </c>
      <c r="M608" s="2"/>
    </row>
    <row r="609" spans="1:13" x14ac:dyDescent="0.25">
      <c r="A609" s="1" t="str">
        <f>IF(OR(A608="",F608=0,A608=Refinance_Calculator!$C$29),"",A608+1)</f>
        <v/>
      </c>
      <c r="B609" s="3" t="str">
        <f t="shared" si="80"/>
        <v/>
      </c>
      <c r="C609" s="3" t="str">
        <f>IF(A609="","",(-PMT(Refinance_Calculator!$C$26/12,Refinance_Calculator!$C$29,Refinance_Calculator!$C$23,0,0)))</f>
        <v/>
      </c>
      <c r="D609" s="3" t="str">
        <f t="shared" si="81"/>
        <v/>
      </c>
      <c r="E609" s="3" t="str">
        <f>IF(A609="","",(-PPMT(Refinance_Calculator!$C$26/12,'Internal Working'!A609,Refinance_Calculator!$C$29,Refinance_Calculator!$C$23,0,0)))</f>
        <v/>
      </c>
      <c r="F609" s="3" t="str">
        <f t="shared" si="82"/>
        <v/>
      </c>
      <c r="G609" s="5" t="str">
        <f t="shared" si="83"/>
        <v/>
      </c>
      <c r="H609" s="36" t="str">
        <f t="shared" si="84"/>
        <v/>
      </c>
      <c r="I609" s="37" t="str">
        <f ca="1">+IF(A609 &lt;= $L$2, (Full_Report!C689-'Internal Working'!C609),"")</f>
        <v/>
      </c>
      <c r="J609" s="37" t="str">
        <f t="shared" ca="1" si="78"/>
        <v>0</v>
      </c>
      <c r="K609" s="35" t="str">
        <f t="shared" si="79"/>
        <v>0</v>
      </c>
      <c r="L609" s="35" t="str">
        <f t="shared" si="77"/>
        <v/>
      </c>
      <c r="M609" s="2"/>
    </row>
    <row r="610" spans="1:13" x14ac:dyDescent="0.25">
      <c r="A610" s="1" t="str">
        <f>IF(OR(A609="",F609=0,A609=Refinance_Calculator!$C$29),"",A609+1)</f>
        <v/>
      </c>
      <c r="B610" s="3" t="str">
        <f t="shared" si="80"/>
        <v/>
      </c>
      <c r="C610" s="3" t="str">
        <f>IF(A610="","",(-PMT(Refinance_Calculator!$C$26/12,Refinance_Calculator!$C$29,Refinance_Calculator!$C$23,0,0)))</f>
        <v/>
      </c>
      <c r="D610" s="3" t="str">
        <f t="shared" si="81"/>
        <v/>
      </c>
      <c r="E610" s="3" t="str">
        <f>IF(A610="","",(-PPMT(Refinance_Calculator!$C$26/12,'Internal Working'!A610,Refinance_Calculator!$C$29,Refinance_Calculator!$C$23,0,0)))</f>
        <v/>
      </c>
      <c r="F610" s="3" t="str">
        <f t="shared" si="82"/>
        <v/>
      </c>
      <c r="G610" s="5" t="str">
        <f t="shared" si="83"/>
        <v/>
      </c>
      <c r="H610" s="36" t="str">
        <f t="shared" si="84"/>
        <v/>
      </c>
      <c r="I610" s="37" t="str">
        <f ca="1">+IF(A610 &lt;= $L$2, (Full_Report!C690-'Internal Working'!C610),"")</f>
        <v/>
      </c>
      <c r="J610" s="37" t="str">
        <f t="shared" ca="1" si="78"/>
        <v>0</v>
      </c>
      <c r="K610" s="35" t="str">
        <f t="shared" si="79"/>
        <v>0</v>
      </c>
      <c r="L610" s="35" t="str">
        <f t="shared" si="77"/>
        <v/>
      </c>
      <c r="M610" s="2"/>
    </row>
    <row r="611" spans="1:13" x14ac:dyDescent="0.25">
      <c r="A611" s="1" t="str">
        <f>IF(OR(A610="",F610=0,A610=Refinance_Calculator!$C$29),"",A610+1)</f>
        <v/>
      </c>
      <c r="B611" s="3" t="str">
        <f t="shared" si="80"/>
        <v/>
      </c>
      <c r="C611" s="3" t="str">
        <f>IF(A611="","",(-PMT(Refinance_Calculator!$C$26/12,Refinance_Calculator!$C$29,Refinance_Calculator!$C$23,0,0)))</f>
        <v/>
      </c>
      <c r="D611" s="3" t="str">
        <f t="shared" si="81"/>
        <v/>
      </c>
      <c r="E611" s="3" t="str">
        <f>IF(A611="","",(-PPMT(Refinance_Calculator!$C$26/12,'Internal Working'!A611,Refinance_Calculator!$C$29,Refinance_Calculator!$C$23,0,0)))</f>
        <v/>
      </c>
      <c r="F611" s="3" t="str">
        <f t="shared" si="82"/>
        <v/>
      </c>
      <c r="G611" s="5" t="str">
        <f t="shared" si="83"/>
        <v/>
      </c>
      <c r="H611" s="36" t="str">
        <f t="shared" si="84"/>
        <v/>
      </c>
      <c r="I611" s="37" t="str">
        <f ca="1">+IF(A611 &lt;= $L$2, (Full_Report!C691-'Internal Working'!C611),"")</f>
        <v/>
      </c>
      <c r="J611" s="37" t="str">
        <f t="shared" ca="1" si="78"/>
        <v>0</v>
      </c>
      <c r="K611" s="35" t="str">
        <f t="shared" si="79"/>
        <v>0</v>
      </c>
      <c r="L611" s="35" t="str">
        <f t="shared" si="77"/>
        <v/>
      </c>
      <c r="M611" s="2"/>
    </row>
    <row r="612" spans="1:13" x14ac:dyDescent="0.25">
      <c r="A612" s="1" t="str">
        <f>IF(OR(A611="",F611=0,A611=Refinance_Calculator!$C$29),"",A611+1)</f>
        <v/>
      </c>
      <c r="B612" s="3" t="str">
        <f t="shared" si="80"/>
        <v/>
      </c>
      <c r="C612" s="3" t="str">
        <f>IF(A612="","",(-PMT(Refinance_Calculator!$C$26/12,Refinance_Calculator!$C$29,Refinance_Calculator!$C$23,0,0)))</f>
        <v/>
      </c>
      <c r="D612" s="3" t="str">
        <f t="shared" si="81"/>
        <v/>
      </c>
      <c r="E612" s="3" t="str">
        <f>IF(A612="","",(-PPMT(Refinance_Calculator!$C$26/12,'Internal Working'!A612,Refinance_Calculator!$C$29,Refinance_Calculator!$C$23,0,0)))</f>
        <v/>
      </c>
      <c r="F612" s="3" t="str">
        <f t="shared" si="82"/>
        <v/>
      </c>
      <c r="G612" s="5" t="str">
        <f t="shared" si="83"/>
        <v/>
      </c>
      <c r="H612" s="36" t="str">
        <f t="shared" si="84"/>
        <v/>
      </c>
      <c r="I612" s="37" t="str">
        <f ca="1">+IF(A612 &lt;= $L$2, (Full_Report!C692-'Internal Working'!C612),"")</f>
        <v/>
      </c>
      <c r="J612" s="37" t="str">
        <f t="shared" ca="1" si="78"/>
        <v>0</v>
      </c>
      <c r="K612" s="35" t="str">
        <f t="shared" si="79"/>
        <v>0</v>
      </c>
      <c r="L612" s="35" t="str">
        <f t="shared" si="77"/>
        <v/>
      </c>
      <c r="M612" s="2"/>
    </row>
    <row r="613" spans="1:13" x14ac:dyDescent="0.25">
      <c r="A613" s="1" t="str">
        <f>IF(OR(A612="",F612=0,A612=Refinance_Calculator!$C$29),"",A612+1)</f>
        <v/>
      </c>
      <c r="B613" s="3" t="str">
        <f t="shared" si="80"/>
        <v/>
      </c>
      <c r="C613" s="3" t="str">
        <f>IF(A613="","",(-PMT(Refinance_Calculator!$C$26/12,Refinance_Calculator!$C$29,Refinance_Calculator!$C$23,0,0)))</f>
        <v/>
      </c>
      <c r="D613" s="3" t="str">
        <f t="shared" si="81"/>
        <v/>
      </c>
      <c r="E613" s="3" t="str">
        <f>IF(A613="","",(-PPMT(Refinance_Calculator!$C$26/12,'Internal Working'!A613,Refinance_Calculator!$C$29,Refinance_Calculator!$C$23,0,0)))</f>
        <v/>
      </c>
      <c r="F613" s="3" t="str">
        <f t="shared" si="82"/>
        <v/>
      </c>
      <c r="G613" s="5" t="str">
        <f t="shared" si="83"/>
        <v/>
      </c>
      <c r="H613" s="36" t="str">
        <f t="shared" si="84"/>
        <v/>
      </c>
      <c r="I613" s="37" t="str">
        <f ca="1">+IF(A613 &lt;= $L$2, (Full_Report!C693-'Internal Working'!C613),"")</f>
        <v/>
      </c>
      <c r="J613" s="37" t="str">
        <f t="shared" ca="1" si="78"/>
        <v>0</v>
      </c>
      <c r="K613" s="35" t="str">
        <f t="shared" si="79"/>
        <v>0</v>
      </c>
      <c r="L613" s="35" t="str">
        <f t="shared" si="77"/>
        <v/>
      </c>
      <c r="M613" s="2"/>
    </row>
    <row r="614" spans="1:13" x14ac:dyDescent="0.25">
      <c r="A614" s="1" t="str">
        <f>IF(OR(A613="",F613=0,A613=Refinance_Calculator!$C$29),"",A613+1)</f>
        <v/>
      </c>
      <c r="B614" s="3" t="str">
        <f t="shared" si="80"/>
        <v/>
      </c>
      <c r="C614" s="3" t="str">
        <f>IF(A614="","",(-PMT(Refinance_Calculator!$C$26/12,Refinance_Calculator!$C$29,Refinance_Calculator!$C$23,0,0)))</f>
        <v/>
      </c>
      <c r="D614" s="3" t="str">
        <f t="shared" si="81"/>
        <v/>
      </c>
      <c r="E614" s="3" t="str">
        <f>IF(A614="","",(-PPMT(Refinance_Calculator!$C$26/12,'Internal Working'!A614,Refinance_Calculator!$C$29,Refinance_Calculator!$C$23,0,0)))</f>
        <v/>
      </c>
      <c r="F614" s="3" t="str">
        <f t="shared" si="82"/>
        <v/>
      </c>
      <c r="G614" s="5" t="str">
        <f t="shared" si="83"/>
        <v/>
      </c>
      <c r="H614" s="36" t="str">
        <f t="shared" si="84"/>
        <v/>
      </c>
      <c r="I614" s="37" t="str">
        <f ca="1">+IF(A614 &lt;= $L$2, (Full_Report!C694-'Internal Working'!C614),"")</f>
        <v/>
      </c>
      <c r="J614" s="37" t="str">
        <f t="shared" ca="1" si="78"/>
        <v>0</v>
      </c>
      <c r="K614" s="35" t="str">
        <f t="shared" si="79"/>
        <v>0</v>
      </c>
      <c r="L614" s="35" t="str">
        <f t="shared" si="77"/>
        <v/>
      </c>
      <c r="M614" s="2"/>
    </row>
    <row r="615" spans="1:13" x14ac:dyDescent="0.25">
      <c r="A615" s="1" t="str">
        <f>IF(OR(A614="",F614=0,A614=Refinance_Calculator!$C$29),"",A614+1)</f>
        <v/>
      </c>
      <c r="B615" s="3" t="str">
        <f t="shared" si="80"/>
        <v/>
      </c>
      <c r="C615" s="3" t="str">
        <f>IF(A615="","",(-PMT(Refinance_Calculator!$C$26/12,Refinance_Calculator!$C$29,Refinance_Calculator!$C$23,0,0)))</f>
        <v/>
      </c>
      <c r="D615" s="3" t="str">
        <f t="shared" si="81"/>
        <v/>
      </c>
      <c r="E615" s="3" t="str">
        <f>IF(A615="","",(-PPMT(Refinance_Calculator!$C$26/12,'Internal Working'!A615,Refinance_Calculator!$C$29,Refinance_Calculator!$C$23,0,0)))</f>
        <v/>
      </c>
      <c r="F615" s="3" t="str">
        <f t="shared" si="82"/>
        <v/>
      </c>
      <c r="G615" s="5" t="str">
        <f t="shared" si="83"/>
        <v/>
      </c>
      <c r="H615" s="36" t="str">
        <f t="shared" si="84"/>
        <v/>
      </c>
      <c r="I615" s="37" t="str">
        <f ca="1">+IF(A615 &lt;= $L$2, (Full_Report!C695-'Internal Working'!C615),"")</f>
        <v/>
      </c>
      <c r="J615" s="37" t="str">
        <f t="shared" ca="1" si="78"/>
        <v>0</v>
      </c>
      <c r="K615" s="35" t="str">
        <f t="shared" si="79"/>
        <v>0</v>
      </c>
      <c r="L615" s="35" t="str">
        <f t="shared" si="77"/>
        <v/>
      </c>
      <c r="M615" s="2"/>
    </row>
    <row r="616" spans="1:13" x14ac:dyDescent="0.25">
      <c r="A616" s="1" t="str">
        <f>IF(OR(A615="",F615=0,A615=Refinance_Calculator!$C$29),"",A615+1)</f>
        <v/>
      </c>
      <c r="B616" s="3" t="str">
        <f t="shared" si="80"/>
        <v/>
      </c>
      <c r="C616" s="3" t="str">
        <f>IF(A616="","",(-PMT(Refinance_Calculator!$C$26/12,Refinance_Calculator!$C$29,Refinance_Calculator!$C$23,0,0)))</f>
        <v/>
      </c>
      <c r="D616" s="3" t="str">
        <f t="shared" si="81"/>
        <v/>
      </c>
      <c r="E616" s="3" t="str">
        <f>IF(A616="","",(-PPMT(Refinance_Calculator!$C$26/12,'Internal Working'!A616,Refinance_Calculator!$C$29,Refinance_Calculator!$C$23,0,0)))</f>
        <v/>
      </c>
      <c r="F616" s="3" t="str">
        <f t="shared" si="82"/>
        <v/>
      </c>
      <c r="G616" s="5" t="str">
        <f t="shared" si="83"/>
        <v/>
      </c>
      <c r="H616" s="36" t="str">
        <f t="shared" si="84"/>
        <v/>
      </c>
      <c r="I616" s="37" t="str">
        <f ca="1">+IF(A616 &lt;= $L$2, (Full_Report!C696-'Internal Working'!C616),"")</f>
        <v/>
      </c>
      <c r="J616" s="37" t="str">
        <f t="shared" ca="1" si="78"/>
        <v>0</v>
      </c>
      <c r="K616" s="35" t="str">
        <f t="shared" si="79"/>
        <v>0</v>
      </c>
      <c r="L616" s="35" t="str">
        <f t="shared" si="77"/>
        <v/>
      </c>
      <c r="M616" s="2"/>
    </row>
    <row r="617" spans="1:13" x14ac:dyDescent="0.25">
      <c r="A617" s="1" t="str">
        <f>IF(OR(A616="",F616=0,A616=Refinance_Calculator!$C$29),"",A616+1)</f>
        <v/>
      </c>
      <c r="B617" s="3" t="str">
        <f t="shared" si="80"/>
        <v/>
      </c>
      <c r="C617" s="3" t="str">
        <f>IF(A617="","",(-PMT(Refinance_Calculator!$C$26/12,Refinance_Calculator!$C$29,Refinance_Calculator!$C$23,0,0)))</f>
        <v/>
      </c>
      <c r="D617" s="3" t="str">
        <f t="shared" si="81"/>
        <v/>
      </c>
      <c r="E617" s="3" t="str">
        <f>IF(A617="","",(-PPMT(Refinance_Calculator!$C$26/12,'Internal Working'!A617,Refinance_Calculator!$C$29,Refinance_Calculator!$C$23,0,0)))</f>
        <v/>
      </c>
      <c r="F617" s="3" t="str">
        <f t="shared" si="82"/>
        <v/>
      </c>
      <c r="G617" s="5" t="str">
        <f t="shared" si="83"/>
        <v/>
      </c>
      <c r="H617" s="36" t="str">
        <f t="shared" si="84"/>
        <v/>
      </c>
      <c r="I617" s="37" t="str">
        <f ca="1">+IF(A617 &lt;= $L$2, (Full_Report!C697-'Internal Working'!C617),"")</f>
        <v/>
      </c>
      <c r="J617" s="37" t="str">
        <f t="shared" ca="1" si="78"/>
        <v>0</v>
      </c>
      <c r="K617" s="35" t="str">
        <f t="shared" si="79"/>
        <v>0</v>
      </c>
      <c r="L617" s="35" t="str">
        <f t="shared" si="77"/>
        <v/>
      </c>
      <c r="M617" s="2"/>
    </row>
    <row r="618" spans="1:13" x14ac:dyDescent="0.25">
      <c r="A618" s="1" t="str">
        <f>IF(OR(A617="",F617=0,A617=Refinance_Calculator!$C$29),"",A617+1)</f>
        <v/>
      </c>
      <c r="B618" s="3" t="str">
        <f t="shared" si="80"/>
        <v/>
      </c>
      <c r="C618" s="3" t="str">
        <f>IF(A618="","",(-PMT(Refinance_Calculator!$C$26/12,Refinance_Calculator!$C$29,Refinance_Calculator!$C$23,0,0)))</f>
        <v/>
      </c>
      <c r="D618" s="3" t="str">
        <f t="shared" si="81"/>
        <v/>
      </c>
      <c r="E618" s="3" t="str">
        <f>IF(A618="","",(-PPMT(Refinance_Calculator!$C$26/12,'Internal Working'!A618,Refinance_Calculator!$C$29,Refinance_Calculator!$C$23,0,0)))</f>
        <v/>
      </c>
      <c r="F618" s="3" t="str">
        <f t="shared" si="82"/>
        <v/>
      </c>
      <c r="G618" s="5" t="str">
        <f t="shared" si="83"/>
        <v/>
      </c>
      <c r="H618" s="36" t="str">
        <f t="shared" si="84"/>
        <v/>
      </c>
      <c r="I618" s="37" t="str">
        <f ca="1">+IF(A618 &lt;= $L$2, (Full_Report!C698-'Internal Working'!C618),"")</f>
        <v/>
      </c>
      <c r="J618" s="37" t="str">
        <f t="shared" ca="1" si="78"/>
        <v>0</v>
      </c>
      <c r="K618" s="35" t="str">
        <f t="shared" si="79"/>
        <v>0</v>
      </c>
      <c r="L618" s="35" t="str">
        <f t="shared" si="77"/>
        <v/>
      </c>
      <c r="M618" s="2"/>
    </row>
    <row r="619" spans="1:13" x14ac:dyDescent="0.25">
      <c r="A619" s="1" t="str">
        <f>IF(OR(A618="",F618=0,A618=Refinance_Calculator!$C$29),"",A618+1)</f>
        <v/>
      </c>
      <c r="B619" s="3" t="str">
        <f t="shared" si="80"/>
        <v/>
      </c>
      <c r="C619" s="3" t="str">
        <f>IF(A619="","",(-PMT(Refinance_Calculator!$C$26/12,Refinance_Calculator!$C$29,Refinance_Calculator!$C$23,0,0)))</f>
        <v/>
      </c>
      <c r="D619" s="3" t="str">
        <f t="shared" si="81"/>
        <v/>
      </c>
      <c r="E619" s="3" t="str">
        <f>IF(A619="","",(-PPMT(Refinance_Calculator!$C$26/12,'Internal Working'!A619,Refinance_Calculator!$C$29,Refinance_Calculator!$C$23,0,0)))</f>
        <v/>
      </c>
      <c r="F619" s="3" t="str">
        <f t="shared" si="82"/>
        <v/>
      </c>
      <c r="G619" s="5" t="str">
        <f t="shared" si="83"/>
        <v/>
      </c>
      <c r="H619" s="36" t="str">
        <f t="shared" si="84"/>
        <v/>
      </c>
      <c r="I619" s="37" t="str">
        <f ca="1">+IF(A619 &lt;= $L$2, (Full_Report!C699-'Internal Working'!C619),"")</f>
        <v/>
      </c>
      <c r="J619" s="37" t="str">
        <f t="shared" ca="1" si="78"/>
        <v>0</v>
      </c>
      <c r="K619" s="35" t="str">
        <f t="shared" si="79"/>
        <v>0</v>
      </c>
      <c r="L619" s="35" t="str">
        <f t="shared" si="77"/>
        <v/>
      </c>
      <c r="M619" s="2"/>
    </row>
    <row r="620" spans="1:13" x14ac:dyDescent="0.25">
      <c r="A620" s="1" t="str">
        <f>IF(OR(A619="",F619=0,A619=Refinance_Calculator!$C$29),"",A619+1)</f>
        <v/>
      </c>
      <c r="B620" s="3" t="str">
        <f t="shared" si="80"/>
        <v/>
      </c>
      <c r="C620" s="3" t="str">
        <f>IF(A620="","",(-PMT(Refinance_Calculator!$C$26/12,Refinance_Calculator!$C$29,Refinance_Calculator!$C$23,0,0)))</f>
        <v/>
      </c>
      <c r="D620" s="3" t="str">
        <f t="shared" si="81"/>
        <v/>
      </c>
      <c r="E620" s="3" t="str">
        <f>IF(A620="","",(-PPMT(Refinance_Calculator!$C$26/12,'Internal Working'!A620,Refinance_Calculator!$C$29,Refinance_Calculator!$C$23,0,0)))</f>
        <v/>
      </c>
      <c r="F620" s="3" t="str">
        <f t="shared" si="82"/>
        <v/>
      </c>
      <c r="G620" s="5" t="str">
        <f t="shared" si="83"/>
        <v/>
      </c>
      <c r="H620" s="36" t="str">
        <f t="shared" si="84"/>
        <v/>
      </c>
      <c r="I620" s="37" t="str">
        <f ca="1">+IF(A620 &lt;= $L$2, (Full_Report!C700-'Internal Working'!C620),"")</f>
        <v/>
      </c>
      <c r="J620" s="37" t="str">
        <f t="shared" ca="1" si="78"/>
        <v>0</v>
      </c>
      <c r="K620" s="35" t="str">
        <f t="shared" si="79"/>
        <v>0</v>
      </c>
      <c r="L620" s="35" t="str">
        <f t="shared" si="77"/>
        <v/>
      </c>
      <c r="M620" s="2"/>
    </row>
    <row r="621" spans="1:13" x14ac:dyDescent="0.25">
      <c r="A621" s="1" t="str">
        <f>IF(OR(A620="",F620=0,A620=Refinance_Calculator!$C$29),"",A620+1)</f>
        <v/>
      </c>
      <c r="B621" s="3" t="str">
        <f t="shared" si="80"/>
        <v/>
      </c>
      <c r="C621" s="3" t="str">
        <f>IF(A621="","",(-PMT(Refinance_Calculator!$C$26/12,Refinance_Calculator!$C$29,Refinance_Calculator!$C$23,0,0)))</f>
        <v/>
      </c>
      <c r="D621" s="3" t="str">
        <f t="shared" si="81"/>
        <v/>
      </c>
      <c r="E621" s="3" t="str">
        <f>IF(A621="","",(-PPMT(Refinance_Calculator!$C$26/12,'Internal Working'!A621,Refinance_Calculator!$C$29,Refinance_Calculator!$C$23,0,0)))</f>
        <v/>
      </c>
      <c r="F621" s="3" t="str">
        <f t="shared" si="82"/>
        <v/>
      </c>
      <c r="G621" s="5" t="str">
        <f t="shared" si="83"/>
        <v/>
      </c>
      <c r="H621" s="36" t="str">
        <f t="shared" si="84"/>
        <v/>
      </c>
      <c r="I621" s="37" t="str">
        <f ca="1">+IF(A621 &lt;= $L$2, (Full_Report!C701-'Internal Working'!C621),"")</f>
        <v/>
      </c>
      <c r="J621" s="37" t="str">
        <f t="shared" ca="1" si="78"/>
        <v>0</v>
      </c>
      <c r="K621" s="35" t="str">
        <f t="shared" si="79"/>
        <v>0</v>
      </c>
      <c r="L621" s="35" t="str">
        <f t="shared" si="77"/>
        <v/>
      </c>
      <c r="M621" s="2"/>
    </row>
    <row r="622" spans="1:13" x14ac:dyDescent="0.25">
      <c r="A622" s="1" t="str">
        <f>IF(OR(A621="",F621=0,A621=Refinance_Calculator!$C$29),"",A621+1)</f>
        <v/>
      </c>
      <c r="B622" s="3" t="str">
        <f t="shared" si="80"/>
        <v/>
      </c>
      <c r="C622" s="3" t="str">
        <f>IF(A622="","",(-PMT(Refinance_Calculator!$C$26/12,Refinance_Calculator!$C$29,Refinance_Calculator!$C$23,0,0)))</f>
        <v/>
      </c>
      <c r="D622" s="3" t="str">
        <f t="shared" si="81"/>
        <v/>
      </c>
      <c r="E622" s="3" t="str">
        <f>IF(A622="","",(-PPMT(Refinance_Calculator!$C$26/12,'Internal Working'!A622,Refinance_Calculator!$C$29,Refinance_Calculator!$C$23,0,0)))</f>
        <v/>
      </c>
      <c r="F622" s="3" t="str">
        <f t="shared" si="82"/>
        <v/>
      </c>
      <c r="G622" s="5" t="str">
        <f t="shared" si="83"/>
        <v/>
      </c>
      <c r="H622" s="36" t="str">
        <f t="shared" si="84"/>
        <v/>
      </c>
      <c r="I622" s="37" t="str">
        <f ca="1">+IF(A622 &lt;= $L$2, (Full_Report!C702-'Internal Working'!C622),"")</f>
        <v/>
      </c>
      <c r="J622" s="37" t="str">
        <f t="shared" ca="1" si="78"/>
        <v>0</v>
      </c>
      <c r="K622" s="35" t="str">
        <f t="shared" si="79"/>
        <v>0</v>
      </c>
      <c r="L622" s="35" t="str">
        <f t="shared" si="77"/>
        <v/>
      </c>
      <c r="M622" s="2"/>
    </row>
    <row r="623" spans="1:13" x14ac:dyDescent="0.25">
      <c r="A623" s="1" t="str">
        <f>IF(OR(A622="",F622=0,A622=Refinance_Calculator!$C$29),"",A622+1)</f>
        <v/>
      </c>
      <c r="B623" s="3" t="str">
        <f t="shared" si="80"/>
        <v/>
      </c>
      <c r="C623" s="3" t="str">
        <f>IF(A623="","",(-PMT(Refinance_Calculator!$C$26/12,Refinance_Calculator!$C$29,Refinance_Calculator!$C$23,0,0)))</f>
        <v/>
      </c>
      <c r="D623" s="3" t="str">
        <f t="shared" si="81"/>
        <v/>
      </c>
      <c r="E623" s="3" t="str">
        <f>IF(A623="","",(-PPMT(Refinance_Calculator!$C$26/12,'Internal Working'!A623,Refinance_Calculator!$C$29,Refinance_Calculator!$C$23,0,0)))</f>
        <v/>
      </c>
      <c r="F623" s="3" t="str">
        <f t="shared" si="82"/>
        <v/>
      </c>
      <c r="G623" s="5" t="str">
        <f t="shared" si="83"/>
        <v/>
      </c>
      <c r="H623" s="36" t="str">
        <f t="shared" si="84"/>
        <v/>
      </c>
      <c r="I623" s="37" t="str">
        <f ca="1">+IF(A623 &lt;= $L$2, (Full_Report!C703-'Internal Working'!C623),"")</f>
        <v/>
      </c>
      <c r="J623" s="37" t="str">
        <f t="shared" ca="1" si="78"/>
        <v>0</v>
      </c>
      <c r="K623" s="35" t="str">
        <f t="shared" si="79"/>
        <v>0</v>
      </c>
      <c r="L623" s="35" t="str">
        <f t="shared" si="77"/>
        <v/>
      </c>
      <c r="M623" s="2"/>
    </row>
    <row r="624" spans="1:13" x14ac:dyDescent="0.25">
      <c r="A624" s="1" t="str">
        <f>IF(OR(A623="",F623=0,A623=Refinance_Calculator!$C$29),"",A623+1)</f>
        <v/>
      </c>
      <c r="B624" s="3" t="str">
        <f t="shared" si="80"/>
        <v/>
      </c>
      <c r="C624" s="3" t="str">
        <f>IF(A624="","",(-PMT(Refinance_Calculator!$C$26/12,Refinance_Calculator!$C$29,Refinance_Calculator!$C$23,0,0)))</f>
        <v/>
      </c>
      <c r="D624" s="3" t="str">
        <f t="shared" si="81"/>
        <v/>
      </c>
      <c r="E624" s="3" t="str">
        <f>IF(A624="","",(-PPMT(Refinance_Calculator!$C$26/12,'Internal Working'!A624,Refinance_Calculator!$C$29,Refinance_Calculator!$C$23,0,0)))</f>
        <v/>
      </c>
      <c r="F624" s="3" t="str">
        <f t="shared" si="82"/>
        <v/>
      </c>
      <c r="G624" s="5" t="str">
        <f t="shared" si="83"/>
        <v/>
      </c>
      <c r="H624" s="36" t="str">
        <f t="shared" si="84"/>
        <v/>
      </c>
      <c r="I624" s="37" t="str">
        <f ca="1">+IF(A624 &lt;= $L$2, (Full_Report!C704-'Internal Working'!C624),"")</f>
        <v/>
      </c>
      <c r="J624" s="37" t="str">
        <f t="shared" ca="1" si="78"/>
        <v>0</v>
      </c>
      <c r="K624" s="35" t="str">
        <f t="shared" si="79"/>
        <v>0</v>
      </c>
      <c r="L624" s="35" t="str">
        <f t="shared" si="77"/>
        <v/>
      </c>
      <c r="M624" s="2"/>
    </row>
    <row r="625" spans="1:13" x14ac:dyDescent="0.25">
      <c r="A625" s="1" t="str">
        <f>IF(OR(A624="",F624=0,A624=Refinance_Calculator!$C$29),"",A624+1)</f>
        <v/>
      </c>
      <c r="B625" s="3" t="str">
        <f t="shared" si="80"/>
        <v/>
      </c>
      <c r="C625" s="3" t="str">
        <f>IF(A625="","",(-PMT(Refinance_Calculator!$C$26/12,Refinance_Calculator!$C$29,Refinance_Calculator!$C$23,0,0)))</f>
        <v/>
      </c>
      <c r="D625" s="3" t="str">
        <f t="shared" si="81"/>
        <v/>
      </c>
      <c r="E625" s="3" t="str">
        <f>IF(A625="","",(-PPMT(Refinance_Calculator!$C$26/12,'Internal Working'!A625,Refinance_Calculator!$C$29,Refinance_Calculator!$C$23,0,0)))</f>
        <v/>
      </c>
      <c r="F625" s="3" t="str">
        <f t="shared" si="82"/>
        <v/>
      </c>
      <c r="G625" s="5" t="str">
        <f t="shared" si="83"/>
        <v/>
      </c>
      <c r="H625" s="36" t="str">
        <f t="shared" si="84"/>
        <v/>
      </c>
      <c r="I625" s="37" t="str">
        <f ca="1">+IF(A625 &lt;= $L$2, (Full_Report!C705-'Internal Working'!C625),"")</f>
        <v/>
      </c>
      <c r="J625" s="37" t="str">
        <f t="shared" ca="1" si="78"/>
        <v>0</v>
      </c>
      <c r="K625" s="35" t="str">
        <f t="shared" si="79"/>
        <v>0</v>
      </c>
      <c r="L625" s="35" t="str">
        <f t="shared" si="77"/>
        <v/>
      </c>
      <c r="M625" s="2"/>
    </row>
    <row r="626" spans="1:13" x14ac:dyDescent="0.25">
      <c r="A626" s="1" t="str">
        <f>IF(OR(A625="",F625=0,A625=Refinance_Calculator!$C$29),"",A625+1)</f>
        <v/>
      </c>
      <c r="B626" s="3" t="str">
        <f t="shared" si="80"/>
        <v/>
      </c>
      <c r="C626" s="3" t="str">
        <f>IF(A626="","",(-PMT(Refinance_Calculator!$C$26/12,Refinance_Calculator!$C$29,Refinance_Calculator!$C$23,0,0)))</f>
        <v/>
      </c>
      <c r="D626" s="3" t="str">
        <f t="shared" si="81"/>
        <v/>
      </c>
      <c r="E626" s="3" t="str">
        <f>IF(A626="","",(-PPMT(Refinance_Calculator!$C$26/12,'Internal Working'!A626,Refinance_Calculator!$C$29,Refinance_Calculator!$C$23,0,0)))</f>
        <v/>
      </c>
      <c r="F626" s="3" t="str">
        <f t="shared" si="82"/>
        <v/>
      </c>
      <c r="G626" s="5" t="str">
        <f t="shared" si="83"/>
        <v/>
      </c>
      <c r="H626" s="36" t="str">
        <f t="shared" si="84"/>
        <v/>
      </c>
      <c r="I626" s="37" t="str">
        <f ca="1">+IF(A626 &lt;= $L$2, (Full_Report!C706-'Internal Working'!C626),"")</f>
        <v/>
      </c>
      <c r="J626" s="37" t="str">
        <f t="shared" ca="1" si="78"/>
        <v>0</v>
      </c>
      <c r="K626" s="35" t="str">
        <f t="shared" si="79"/>
        <v>0</v>
      </c>
      <c r="L626" s="35" t="str">
        <f t="shared" si="77"/>
        <v/>
      </c>
      <c r="M626" s="2"/>
    </row>
    <row r="627" spans="1:13" x14ac:dyDescent="0.25">
      <c r="A627" s="1" t="str">
        <f>IF(OR(A626="",F626=0,A626=Refinance_Calculator!$C$29),"",A626+1)</f>
        <v/>
      </c>
      <c r="B627" s="3" t="str">
        <f t="shared" si="80"/>
        <v/>
      </c>
      <c r="C627" s="3" t="str">
        <f>IF(A627="","",(-PMT(Refinance_Calculator!$C$26/12,Refinance_Calculator!$C$29,Refinance_Calculator!$C$23,0,0)))</f>
        <v/>
      </c>
      <c r="D627" s="3" t="str">
        <f t="shared" si="81"/>
        <v/>
      </c>
      <c r="E627" s="3" t="str">
        <f>IF(A627="","",(-PPMT(Refinance_Calculator!$C$26/12,'Internal Working'!A627,Refinance_Calculator!$C$29,Refinance_Calculator!$C$23,0,0)))</f>
        <v/>
      </c>
      <c r="F627" s="3" t="str">
        <f t="shared" si="82"/>
        <v/>
      </c>
      <c r="G627" s="5" t="str">
        <f t="shared" si="83"/>
        <v/>
      </c>
      <c r="H627" s="36" t="str">
        <f t="shared" si="84"/>
        <v/>
      </c>
      <c r="I627" s="37" t="str">
        <f ca="1">+IF(A627 &lt;= $L$2, (Full_Report!C707-'Internal Working'!C627),"")</f>
        <v/>
      </c>
      <c r="J627" s="37" t="str">
        <f t="shared" ca="1" si="78"/>
        <v>0</v>
      </c>
      <c r="K627" s="35" t="str">
        <f t="shared" si="79"/>
        <v>0</v>
      </c>
      <c r="L627" s="35" t="str">
        <f t="shared" si="77"/>
        <v/>
      </c>
      <c r="M627" s="2"/>
    </row>
    <row r="628" spans="1:13" x14ac:dyDescent="0.25">
      <c r="A628" s="1" t="str">
        <f>IF(OR(A627="",F627=0,A627=Refinance_Calculator!$C$29),"",A627+1)</f>
        <v/>
      </c>
      <c r="B628" s="3" t="str">
        <f t="shared" si="80"/>
        <v/>
      </c>
      <c r="C628" s="3" t="str">
        <f>IF(A628="","",(-PMT(Refinance_Calculator!$C$26/12,Refinance_Calculator!$C$29,Refinance_Calculator!$C$23,0,0)))</f>
        <v/>
      </c>
      <c r="D628" s="3" t="str">
        <f t="shared" si="81"/>
        <v/>
      </c>
      <c r="E628" s="3" t="str">
        <f>IF(A628="","",(-PPMT(Refinance_Calculator!$C$26/12,'Internal Working'!A628,Refinance_Calculator!$C$29,Refinance_Calculator!$C$23,0,0)))</f>
        <v/>
      </c>
      <c r="F628" s="3" t="str">
        <f t="shared" si="82"/>
        <v/>
      </c>
      <c r="G628" s="5" t="str">
        <f t="shared" si="83"/>
        <v/>
      </c>
      <c r="H628" s="36" t="str">
        <f t="shared" si="84"/>
        <v/>
      </c>
      <c r="I628" s="37" t="str">
        <f ca="1">+IF(A628 &lt;= $L$2, (Full_Report!C708-'Internal Working'!C628),"")</f>
        <v/>
      </c>
      <c r="J628" s="37" t="str">
        <f t="shared" ca="1" si="78"/>
        <v>0</v>
      </c>
      <c r="K628" s="35" t="str">
        <f t="shared" si="79"/>
        <v>0</v>
      </c>
      <c r="L628" s="35" t="str">
        <f t="shared" si="77"/>
        <v/>
      </c>
      <c r="M628" s="2"/>
    </row>
    <row r="629" spans="1:13" x14ac:dyDescent="0.25">
      <c r="A629" s="1" t="str">
        <f>IF(OR(A628="",F628=0,A628=Refinance_Calculator!$C$29),"",A628+1)</f>
        <v/>
      </c>
      <c r="B629" s="3" t="str">
        <f t="shared" si="80"/>
        <v/>
      </c>
      <c r="C629" s="3" t="str">
        <f>IF(A629="","",(-PMT(Refinance_Calculator!$C$26/12,Refinance_Calculator!$C$29,Refinance_Calculator!$C$23,0,0)))</f>
        <v/>
      </c>
      <c r="D629" s="3" t="str">
        <f t="shared" si="81"/>
        <v/>
      </c>
      <c r="E629" s="3" t="str">
        <f>IF(A629="","",(-PPMT(Refinance_Calculator!$C$26/12,'Internal Working'!A629,Refinance_Calculator!$C$29,Refinance_Calculator!$C$23,0,0)))</f>
        <v/>
      </c>
      <c r="F629" s="3" t="str">
        <f t="shared" si="82"/>
        <v/>
      </c>
      <c r="G629" s="5" t="str">
        <f t="shared" si="83"/>
        <v/>
      </c>
      <c r="H629" s="36" t="str">
        <f t="shared" si="84"/>
        <v/>
      </c>
      <c r="I629" s="37" t="str">
        <f ca="1">+IF(A629 &lt;= $L$2, (Full_Report!C709-'Internal Working'!C629),"")</f>
        <v/>
      </c>
      <c r="J629" s="37" t="str">
        <f t="shared" ca="1" si="78"/>
        <v>0</v>
      </c>
      <c r="K629" s="35" t="str">
        <f t="shared" si="79"/>
        <v>0</v>
      </c>
      <c r="L629" s="35" t="str">
        <f t="shared" si="77"/>
        <v/>
      </c>
      <c r="M629" s="2"/>
    </row>
    <row r="630" spans="1:13" x14ac:dyDescent="0.25">
      <c r="A630" s="1" t="str">
        <f>IF(OR(A629="",F629=0,A629=Refinance_Calculator!$C$29),"",A629+1)</f>
        <v/>
      </c>
      <c r="B630" s="3" t="str">
        <f t="shared" si="80"/>
        <v/>
      </c>
      <c r="C630" s="3" t="str">
        <f>IF(A630="","",(-PMT(Refinance_Calculator!$C$26/12,Refinance_Calculator!$C$29,Refinance_Calculator!$C$23,0,0)))</f>
        <v/>
      </c>
      <c r="D630" s="3" t="str">
        <f t="shared" si="81"/>
        <v/>
      </c>
      <c r="E630" s="3" t="str">
        <f>IF(A630="","",(-PPMT(Refinance_Calculator!$C$26/12,'Internal Working'!A630,Refinance_Calculator!$C$29,Refinance_Calculator!$C$23,0,0)))</f>
        <v/>
      </c>
      <c r="F630" s="3" t="str">
        <f t="shared" si="82"/>
        <v/>
      </c>
      <c r="G630" s="5" t="str">
        <f t="shared" si="83"/>
        <v/>
      </c>
      <c r="H630" s="36" t="str">
        <f t="shared" si="84"/>
        <v/>
      </c>
      <c r="I630" s="37" t="str">
        <f ca="1">+IF(A630 &lt;= $L$2, (Full_Report!C710-'Internal Working'!C630),"")</f>
        <v/>
      </c>
      <c r="J630" s="37" t="str">
        <f t="shared" ca="1" si="78"/>
        <v>0</v>
      </c>
      <c r="K630" s="35" t="str">
        <f t="shared" si="79"/>
        <v>0</v>
      </c>
      <c r="L630" s="35" t="str">
        <f t="shared" si="77"/>
        <v/>
      </c>
      <c r="M630" s="2"/>
    </row>
    <row r="631" spans="1:13" x14ac:dyDescent="0.25">
      <c r="A631" s="1" t="str">
        <f>IF(OR(A630="",F630=0,A630=Refinance_Calculator!$C$29),"",A630+1)</f>
        <v/>
      </c>
      <c r="B631" s="3" t="str">
        <f t="shared" si="80"/>
        <v/>
      </c>
      <c r="C631" s="3" t="str">
        <f>IF(A631="","",(-PMT(Refinance_Calculator!$C$26/12,Refinance_Calculator!$C$29,Refinance_Calculator!$C$23,0,0)))</f>
        <v/>
      </c>
      <c r="D631" s="3" t="str">
        <f t="shared" si="81"/>
        <v/>
      </c>
      <c r="E631" s="3" t="str">
        <f>IF(A631="","",(-PPMT(Refinance_Calculator!$C$26/12,'Internal Working'!A631,Refinance_Calculator!$C$29,Refinance_Calculator!$C$23,0,0)))</f>
        <v/>
      </c>
      <c r="F631" s="3" t="str">
        <f t="shared" si="82"/>
        <v/>
      </c>
      <c r="G631" s="5" t="str">
        <f t="shared" si="83"/>
        <v/>
      </c>
      <c r="H631" s="36" t="str">
        <f t="shared" si="84"/>
        <v/>
      </c>
      <c r="I631" s="37" t="str">
        <f ca="1">+IF(A631 &lt;= $L$2, (Full_Report!C711-'Internal Working'!C631),"")</f>
        <v/>
      </c>
      <c r="J631" s="37" t="str">
        <f t="shared" ca="1" si="78"/>
        <v>0</v>
      </c>
      <c r="K631" s="35" t="str">
        <f t="shared" si="79"/>
        <v>0</v>
      </c>
      <c r="L631" s="35" t="str">
        <f t="shared" si="77"/>
        <v/>
      </c>
      <c r="M631" s="2"/>
    </row>
    <row r="632" spans="1:13" x14ac:dyDescent="0.25">
      <c r="A632" s="1" t="str">
        <f>IF(OR(A631="",F631=0,A631=Refinance_Calculator!$C$29),"",A631+1)</f>
        <v/>
      </c>
      <c r="B632" s="3" t="str">
        <f t="shared" si="80"/>
        <v/>
      </c>
      <c r="C632" s="3" t="str">
        <f>IF(A632="","",(-PMT(Refinance_Calculator!$C$26/12,Refinance_Calculator!$C$29,Refinance_Calculator!$C$23,0,0)))</f>
        <v/>
      </c>
      <c r="D632" s="3" t="str">
        <f t="shared" si="81"/>
        <v/>
      </c>
      <c r="E632" s="3" t="str">
        <f>IF(A632="","",(-PPMT(Refinance_Calculator!$C$26/12,'Internal Working'!A632,Refinance_Calculator!$C$29,Refinance_Calculator!$C$23,0,0)))</f>
        <v/>
      </c>
      <c r="F632" s="3" t="str">
        <f t="shared" si="82"/>
        <v/>
      </c>
      <c r="G632" s="5" t="str">
        <f t="shared" si="83"/>
        <v/>
      </c>
      <c r="H632" s="36" t="str">
        <f t="shared" si="84"/>
        <v/>
      </c>
      <c r="I632" s="37" t="str">
        <f ca="1">+IF(A632 &lt;= $L$2, (Full_Report!C712-'Internal Working'!C632),"")</f>
        <v/>
      </c>
      <c r="J632" s="37" t="str">
        <f t="shared" ca="1" si="78"/>
        <v>0</v>
      </c>
      <c r="K632" s="35" t="str">
        <f t="shared" si="79"/>
        <v>0</v>
      </c>
      <c r="L632" s="35" t="str">
        <f t="shared" si="77"/>
        <v/>
      </c>
      <c r="M632" s="2"/>
    </row>
    <row r="633" spans="1:13" x14ac:dyDescent="0.25">
      <c r="A633" s="1" t="str">
        <f>IF(OR(A632="",F632=0,A632=Refinance_Calculator!$C$29),"",A632+1)</f>
        <v/>
      </c>
      <c r="B633" s="3" t="str">
        <f t="shared" si="80"/>
        <v/>
      </c>
      <c r="C633" s="3" t="str">
        <f>IF(A633="","",(-PMT(Refinance_Calculator!$C$26/12,Refinance_Calculator!$C$29,Refinance_Calculator!$C$23,0,0)))</f>
        <v/>
      </c>
      <c r="D633" s="3" t="str">
        <f t="shared" si="81"/>
        <v/>
      </c>
      <c r="E633" s="3" t="str">
        <f>IF(A633="","",(-PPMT(Refinance_Calculator!$C$26/12,'Internal Working'!A633,Refinance_Calculator!$C$29,Refinance_Calculator!$C$23,0,0)))</f>
        <v/>
      </c>
      <c r="F633" s="3" t="str">
        <f t="shared" si="82"/>
        <v/>
      </c>
      <c r="G633" s="5" t="str">
        <f t="shared" si="83"/>
        <v/>
      </c>
      <c r="H633" s="36" t="str">
        <f t="shared" si="84"/>
        <v/>
      </c>
      <c r="I633" s="37" t="str">
        <f ca="1">+IF(A633 &lt;= $L$2, (Full_Report!C713-'Internal Working'!C633),"")</f>
        <v/>
      </c>
      <c r="J633" s="37" t="str">
        <f t="shared" ca="1" si="78"/>
        <v>0</v>
      </c>
      <c r="K633" s="35" t="str">
        <f t="shared" si="79"/>
        <v>0</v>
      </c>
      <c r="L633" s="35" t="str">
        <f t="shared" si="77"/>
        <v/>
      </c>
      <c r="M633" s="2"/>
    </row>
    <row r="634" spans="1:13" x14ac:dyDescent="0.25">
      <c r="A634" s="1" t="str">
        <f>IF(OR(A633="",F633=0,A633=Refinance_Calculator!$C$29),"",A633+1)</f>
        <v/>
      </c>
      <c r="B634" s="3" t="str">
        <f t="shared" si="80"/>
        <v/>
      </c>
      <c r="C634" s="3" t="str">
        <f>IF(A634="","",(-PMT(Refinance_Calculator!$C$26/12,Refinance_Calculator!$C$29,Refinance_Calculator!$C$23,0,0)))</f>
        <v/>
      </c>
      <c r="D634" s="3" t="str">
        <f t="shared" si="81"/>
        <v/>
      </c>
      <c r="E634" s="3" t="str">
        <f>IF(A634="","",(-PPMT(Refinance_Calculator!$C$26/12,'Internal Working'!A634,Refinance_Calculator!$C$29,Refinance_Calculator!$C$23,0,0)))</f>
        <v/>
      </c>
      <c r="F634" s="3" t="str">
        <f t="shared" si="82"/>
        <v/>
      </c>
      <c r="G634" s="5" t="str">
        <f t="shared" si="83"/>
        <v/>
      </c>
      <c r="H634" s="36" t="str">
        <f t="shared" si="84"/>
        <v/>
      </c>
      <c r="I634" s="37" t="str">
        <f ca="1">+IF(A634 &lt;= $L$2, (Full_Report!C714-'Internal Working'!C634),"")</f>
        <v/>
      </c>
      <c r="J634" s="37" t="str">
        <f t="shared" ca="1" si="78"/>
        <v>0</v>
      </c>
      <c r="K634" s="35" t="str">
        <f t="shared" si="79"/>
        <v>0</v>
      </c>
      <c r="L634" s="35" t="str">
        <f t="shared" si="77"/>
        <v/>
      </c>
      <c r="M634" s="2"/>
    </row>
    <row r="635" spans="1:13" x14ac:dyDescent="0.25">
      <c r="A635" s="1" t="str">
        <f>IF(OR(A634="",F634=0,A634=Refinance_Calculator!$C$29),"",A634+1)</f>
        <v/>
      </c>
      <c r="B635" s="3" t="str">
        <f t="shared" si="80"/>
        <v/>
      </c>
      <c r="C635" s="3" t="str">
        <f>IF(A635="","",(-PMT(Refinance_Calculator!$C$26/12,Refinance_Calculator!$C$29,Refinance_Calculator!$C$23,0,0)))</f>
        <v/>
      </c>
      <c r="D635" s="3" t="str">
        <f t="shared" si="81"/>
        <v/>
      </c>
      <c r="E635" s="3" t="str">
        <f>IF(A635="","",(-PPMT(Refinance_Calculator!$C$26/12,'Internal Working'!A635,Refinance_Calculator!$C$29,Refinance_Calculator!$C$23,0,0)))</f>
        <v/>
      </c>
      <c r="F635" s="3" t="str">
        <f t="shared" si="82"/>
        <v/>
      </c>
      <c r="G635" s="5" t="str">
        <f t="shared" si="83"/>
        <v/>
      </c>
      <c r="H635" s="36" t="str">
        <f t="shared" si="84"/>
        <v/>
      </c>
      <c r="I635" s="37" t="str">
        <f ca="1">+IF(A635 &lt;= $L$2, (Full_Report!C715-'Internal Working'!C635),"")</f>
        <v/>
      </c>
      <c r="J635" s="37" t="str">
        <f t="shared" ca="1" si="78"/>
        <v>0</v>
      </c>
      <c r="K635" s="35" t="str">
        <f t="shared" si="79"/>
        <v>0</v>
      </c>
      <c r="L635" s="35" t="str">
        <f t="shared" si="77"/>
        <v/>
      </c>
      <c r="M635" s="2"/>
    </row>
    <row r="636" spans="1:13" x14ac:dyDescent="0.25">
      <c r="A636" s="1" t="str">
        <f>IF(OR(A635="",F635=0,A635=Refinance_Calculator!$C$29),"",A635+1)</f>
        <v/>
      </c>
      <c r="B636" s="3" t="str">
        <f t="shared" si="80"/>
        <v/>
      </c>
      <c r="C636" s="3" t="str">
        <f>IF(A636="","",(-PMT(Refinance_Calculator!$C$26/12,Refinance_Calculator!$C$29,Refinance_Calculator!$C$23,0,0)))</f>
        <v/>
      </c>
      <c r="D636" s="3" t="str">
        <f t="shared" si="81"/>
        <v/>
      </c>
      <c r="E636" s="3" t="str">
        <f>IF(A636="","",(-PPMT(Refinance_Calculator!$C$26/12,'Internal Working'!A636,Refinance_Calculator!$C$29,Refinance_Calculator!$C$23,0,0)))</f>
        <v/>
      </c>
      <c r="F636" s="3" t="str">
        <f t="shared" si="82"/>
        <v/>
      </c>
      <c r="G636" s="5" t="str">
        <f t="shared" si="83"/>
        <v/>
      </c>
      <c r="H636" s="36" t="str">
        <f t="shared" si="84"/>
        <v/>
      </c>
      <c r="I636" s="37" t="str">
        <f ca="1">+IF(A636 &lt;= $L$2, (Full_Report!C716-'Internal Working'!C636),"")</f>
        <v/>
      </c>
      <c r="J636" s="37" t="str">
        <f t="shared" ca="1" si="78"/>
        <v>0</v>
      </c>
      <c r="K636" s="35" t="str">
        <f t="shared" si="79"/>
        <v>0</v>
      </c>
      <c r="L636" s="35" t="str">
        <f t="shared" si="77"/>
        <v/>
      </c>
      <c r="M636" s="2"/>
    </row>
    <row r="637" spans="1:13" x14ac:dyDescent="0.25">
      <c r="A637" s="1" t="str">
        <f>IF(OR(A636="",F636=0,A636=Refinance_Calculator!$C$29),"",A636+1)</f>
        <v/>
      </c>
      <c r="B637" s="3" t="str">
        <f t="shared" si="80"/>
        <v/>
      </c>
      <c r="C637" s="3" t="str">
        <f>IF(A637="","",(-PMT(Refinance_Calculator!$C$26/12,Refinance_Calculator!$C$29,Refinance_Calculator!$C$23,0,0)))</f>
        <v/>
      </c>
      <c r="D637" s="3" t="str">
        <f t="shared" si="81"/>
        <v/>
      </c>
      <c r="E637" s="3" t="str">
        <f>IF(A637="","",(-PPMT(Refinance_Calculator!$C$26/12,'Internal Working'!A637,Refinance_Calculator!$C$29,Refinance_Calculator!$C$23,0,0)))</f>
        <v/>
      </c>
      <c r="F637" s="3" t="str">
        <f t="shared" si="82"/>
        <v/>
      </c>
      <c r="G637" s="5" t="str">
        <f t="shared" si="83"/>
        <v/>
      </c>
      <c r="H637" s="36" t="str">
        <f t="shared" si="84"/>
        <v/>
      </c>
      <c r="I637" s="37" t="str">
        <f ca="1">+IF(A637 &lt;= $L$2, (Full_Report!C717-'Internal Working'!C637),"")</f>
        <v/>
      </c>
      <c r="J637" s="37" t="str">
        <f t="shared" ca="1" si="78"/>
        <v>0</v>
      </c>
      <c r="K637" s="35" t="str">
        <f t="shared" si="79"/>
        <v>0</v>
      </c>
      <c r="L637" s="35" t="str">
        <f t="shared" si="77"/>
        <v/>
      </c>
      <c r="M637" s="2"/>
    </row>
    <row r="638" spans="1:13" x14ac:dyDescent="0.25">
      <c r="A638" s="1" t="str">
        <f>IF(OR(A637="",F637=0,A637=Refinance_Calculator!$C$29),"",A637+1)</f>
        <v/>
      </c>
      <c r="B638" s="3" t="str">
        <f t="shared" si="80"/>
        <v/>
      </c>
      <c r="C638" s="3" t="str">
        <f>IF(A638="","",(-PMT(Refinance_Calculator!$C$26/12,Refinance_Calculator!$C$29,Refinance_Calculator!$C$23,0,0)))</f>
        <v/>
      </c>
      <c r="D638" s="3" t="str">
        <f t="shared" si="81"/>
        <v/>
      </c>
      <c r="E638" s="3" t="str">
        <f>IF(A638="","",(-PPMT(Refinance_Calculator!$C$26/12,'Internal Working'!A638,Refinance_Calculator!$C$29,Refinance_Calculator!$C$23,0,0)))</f>
        <v/>
      </c>
      <c r="F638" s="3" t="str">
        <f t="shared" si="82"/>
        <v/>
      </c>
      <c r="G638" s="5" t="str">
        <f t="shared" si="83"/>
        <v/>
      </c>
      <c r="H638" s="36" t="str">
        <f t="shared" si="84"/>
        <v/>
      </c>
      <c r="I638" s="37" t="str">
        <f ca="1">+IF(A638 &lt;= $L$2, (Full_Report!C718-'Internal Working'!C638),"")</f>
        <v/>
      </c>
      <c r="J638" s="37" t="str">
        <f t="shared" ca="1" si="78"/>
        <v>0</v>
      </c>
      <c r="K638" s="35" t="str">
        <f t="shared" si="79"/>
        <v>0</v>
      </c>
      <c r="L638" s="35" t="str">
        <f t="shared" si="77"/>
        <v/>
      </c>
      <c r="M638" s="2"/>
    </row>
    <row r="639" spans="1:13" x14ac:dyDescent="0.25">
      <c r="A639" s="1" t="str">
        <f>IF(OR(A638="",F638=0,A638=Refinance_Calculator!$C$29),"",A638+1)</f>
        <v/>
      </c>
      <c r="B639" s="3" t="str">
        <f t="shared" si="80"/>
        <v/>
      </c>
      <c r="C639" s="3" t="str">
        <f>IF(A639="","",(-PMT(Refinance_Calculator!$C$26/12,Refinance_Calculator!$C$29,Refinance_Calculator!$C$23,0,0)))</f>
        <v/>
      </c>
      <c r="D639" s="3" t="str">
        <f t="shared" si="81"/>
        <v/>
      </c>
      <c r="E639" s="3" t="str">
        <f>IF(A639="","",(-PPMT(Refinance_Calculator!$C$26/12,'Internal Working'!A639,Refinance_Calculator!$C$29,Refinance_Calculator!$C$23,0,0)))</f>
        <v/>
      </c>
      <c r="F639" s="3" t="str">
        <f t="shared" si="82"/>
        <v/>
      </c>
      <c r="G639" s="5" t="str">
        <f t="shared" si="83"/>
        <v/>
      </c>
      <c r="H639" s="36" t="str">
        <f t="shared" si="84"/>
        <v/>
      </c>
      <c r="I639" s="37" t="str">
        <f ca="1">+IF(A639 &lt;= $L$2, (Full_Report!C719-'Internal Working'!C639),"")</f>
        <v/>
      </c>
      <c r="J639" s="37" t="str">
        <f t="shared" ca="1" si="78"/>
        <v>0</v>
      </c>
      <c r="K639" s="35" t="str">
        <f t="shared" si="79"/>
        <v>0</v>
      </c>
      <c r="L639" s="35" t="str">
        <f t="shared" si="77"/>
        <v/>
      </c>
      <c r="M639" s="2"/>
    </row>
    <row r="640" spans="1:13" x14ac:dyDescent="0.25">
      <c r="A640" s="1" t="str">
        <f>IF(OR(A639="",F639=0,A639=Refinance_Calculator!$C$29),"",A639+1)</f>
        <v/>
      </c>
      <c r="B640" s="3" t="str">
        <f t="shared" si="80"/>
        <v/>
      </c>
      <c r="C640" s="3" t="str">
        <f>IF(A640="","",(-PMT(Refinance_Calculator!$C$26/12,Refinance_Calculator!$C$29,Refinance_Calculator!$C$23,0,0)))</f>
        <v/>
      </c>
      <c r="D640" s="3" t="str">
        <f t="shared" si="81"/>
        <v/>
      </c>
      <c r="E640" s="3" t="str">
        <f>IF(A640="","",(-PPMT(Refinance_Calculator!$C$26/12,'Internal Working'!A640,Refinance_Calculator!$C$29,Refinance_Calculator!$C$23,0,0)))</f>
        <v/>
      </c>
      <c r="F640" s="3" t="str">
        <f t="shared" si="82"/>
        <v/>
      </c>
      <c r="G640" s="5" t="str">
        <f t="shared" si="83"/>
        <v/>
      </c>
      <c r="H640" s="36" t="str">
        <f t="shared" si="84"/>
        <v/>
      </c>
      <c r="I640" s="37" t="str">
        <f ca="1">+IF(A640 &lt;= $L$2, (Full_Report!C720-'Internal Working'!C640),"")</f>
        <v/>
      </c>
      <c r="J640" s="37" t="str">
        <f t="shared" ca="1" si="78"/>
        <v>0</v>
      </c>
      <c r="K640" s="35" t="str">
        <f t="shared" si="79"/>
        <v>0</v>
      </c>
      <c r="L640" s="35" t="str">
        <f t="shared" si="77"/>
        <v/>
      </c>
      <c r="M640" s="2"/>
    </row>
    <row r="641" spans="1:13" x14ac:dyDescent="0.25">
      <c r="A641" s="1" t="str">
        <f>IF(OR(A640="",F640=0,A640=Refinance_Calculator!$C$29),"",A640+1)</f>
        <v/>
      </c>
      <c r="B641" s="3" t="str">
        <f t="shared" si="80"/>
        <v/>
      </c>
      <c r="C641" s="3" t="str">
        <f>IF(A641="","",(-PMT(Refinance_Calculator!$C$26/12,Refinance_Calculator!$C$29,Refinance_Calculator!$C$23,0,0)))</f>
        <v/>
      </c>
      <c r="D641" s="3" t="str">
        <f t="shared" si="81"/>
        <v/>
      </c>
      <c r="E641" s="3" t="str">
        <f>IF(A641="","",(-PPMT(Refinance_Calculator!$C$26/12,'Internal Working'!A641,Refinance_Calculator!$C$29,Refinance_Calculator!$C$23,0,0)))</f>
        <v/>
      </c>
      <c r="F641" s="3" t="str">
        <f t="shared" si="82"/>
        <v/>
      </c>
      <c r="G641" s="5" t="str">
        <f t="shared" si="83"/>
        <v/>
      </c>
      <c r="H641" s="36" t="str">
        <f t="shared" si="84"/>
        <v/>
      </c>
      <c r="I641" s="37" t="str">
        <f ca="1">+IF(A641 &lt;= $L$2, (Full_Report!C721-'Internal Working'!C641),"")</f>
        <v/>
      </c>
      <c r="J641" s="37" t="str">
        <f t="shared" ca="1" si="78"/>
        <v>0</v>
      </c>
      <c r="K641" s="35" t="str">
        <f t="shared" si="79"/>
        <v>0</v>
      </c>
      <c r="L641" s="35" t="str">
        <f t="shared" si="77"/>
        <v/>
      </c>
      <c r="M641" s="2"/>
    </row>
    <row r="642" spans="1:13" x14ac:dyDescent="0.25">
      <c r="A642" s="1" t="str">
        <f>IF(OR(A641="",F641=0,A641=Refinance_Calculator!$C$29),"",A641+1)</f>
        <v/>
      </c>
      <c r="B642" s="3" t="str">
        <f t="shared" si="80"/>
        <v/>
      </c>
      <c r="C642" s="3" t="str">
        <f>IF(A642="","",(-PMT(Refinance_Calculator!$C$26/12,Refinance_Calculator!$C$29,Refinance_Calculator!$C$23,0,0)))</f>
        <v/>
      </c>
      <c r="D642" s="3" t="str">
        <f t="shared" si="81"/>
        <v/>
      </c>
      <c r="E642" s="3" t="str">
        <f>IF(A642="","",(-PPMT(Refinance_Calculator!$C$26/12,'Internal Working'!A642,Refinance_Calculator!$C$29,Refinance_Calculator!$C$23,0,0)))</f>
        <v/>
      </c>
      <c r="F642" s="3" t="str">
        <f t="shared" si="82"/>
        <v/>
      </c>
      <c r="G642" s="5" t="str">
        <f t="shared" si="83"/>
        <v/>
      </c>
      <c r="H642" s="36" t="str">
        <f t="shared" si="84"/>
        <v/>
      </c>
      <c r="I642" s="37" t="str">
        <f ca="1">+IF(A642 &lt;= $L$2, (Full_Report!C722-'Internal Working'!C642),"")</f>
        <v/>
      </c>
      <c r="J642" s="37" t="str">
        <f t="shared" ca="1" si="78"/>
        <v>0</v>
      </c>
      <c r="K642" s="35" t="str">
        <f t="shared" si="79"/>
        <v>0</v>
      </c>
      <c r="L642" s="35" t="str">
        <f t="shared" si="77"/>
        <v/>
      </c>
      <c r="M642" s="2"/>
    </row>
    <row r="643" spans="1:13" x14ac:dyDescent="0.25">
      <c r="A643" s="1" t="str">
        <f>IF(OR(A642="",F642=0,A642=Refinance_Calculator!$C$29),"",A642+1)</f>
        <v/>
      </c>
      <c r="B643" s="3" t="str">
        <f t="shared" si="80"/>
        <v/>
      </c>
      <c r="C643" s="3" t="str">
        <f>IF(A643="","",(-PMT(Refinance_Calculator!$C$26/12,Refinance_Calculator!$C$29,Refinance_Calculator!$C$23,0,0)))</f>
        <v/>
      </c>
      <c r="D643" s="3" t="str">
        <f t="shared" si="81"/>
        <v/>
      </c>
      <c r="E643" s="3" t="str">
        <f>IF(A643="","",(-PPMT(Refinance_Calculator!$C$26/12,'Internal Working'!A643,Refinance_Calculator!$C$29,Refinance_Calculator!$C$23,0,0)))</f>
        <v/>
      </c>
      <c r="F643" s="3" t="str">
        <f t="shared" si="82"/>
        <v/>
      </c>
      <c r="G643" s="5" t="str">
        <f t="shared" si="83"/>
        <v/>
      </c>
      <c r="H643" s="36" t="str">
        <f t="shared" si="84"/>
        <v/>
      </c>
      <c r="I643" s="37" t="str">
        <f ca="1">+IF(A643 &lt;= $L$2, (Full_Report!C723-'Internal Working'!C643),"")</f>
        <v/>
      </c>
      <c r="J643" s="37" t="str">
        <f t="shared" ca="1" si="78"/>
        <v>0</v>
      </c>
      <c r="K643" s="35" t="str">
        <f t="shared" si="79"/>
        <v>0</v>
      </c>
      <c r="L643" s="35" t="str">
        <f t="shared" si="77"/>
        <v/>
      </c>
      <c r="M643" s="2"/>
    </row>
    <row r="644" spans="1:13" x14ac:dyDescent="0.25">
      <c r="A644" s="1" t="str">
        <f>IF(OR(A643="",F643=0,A643=Refinance_Calculator!$C$29),"",A643+1)</f>
        <v/>
      </c>
      <c r="B644" s="3" t="str">
        <f t="shared" si="80"/>
        <v/>
      </c>
      <c r="C644" s="3" t="str">
        <f>IF(A644="","",(-PMT(Refinance_Calculator!$C$26/12,Refinance_Calculator!$C$29,Refinance_Calculator!$C$23,0,0)))</f>
        <v/>
      </c>
      <c r="D644" s="3" t="str">
        <f t="shared" si="81"/>
        <v/>
      </c>
      <c r="E644" s="3" t="str">
        <f>IF(A644="","",(-PPMT(Refinance_Calculator!$C$26/12,'Internal Working'!A644,Refinance_Calculator!$C$29,Refinance_Calculator!$C$23,0,0)))</f>
        <v/>
      </c>
      <c r="F644" s="3" t="str">
        <f t="shared" si="82"/>
        <v/>
      </c>
      <c r="G644" s="5" t="str">
        <f t="shared" si="83"/>
        <v/>
      </c>
      <c r="H644" s="36" t="str">
        <f t="shared" si="84"/>
        <v/>
      </c>
      <c r="I644" s="37" t="str">
        <f ca="1">+IF(A644 &lt;= $L$2, (Full_Report!C724-'Internal Working'!C644),"")</f>
        <v/>
      </c>
      <c r="J644" s="37" t="str">
        <f t="shared" ca="1" si="78"/>
        <v>0</v>
      </c>
      <c r="K644" s="35" t="str">
        <f t="shared" si="79"/>
        <v>0</v>
      </c>
      <c r="L644" s="35" t="str">
        <f t="shared" si="77"/>
        <v/>
      </c>
      <c r="M644" s="2"/>
    </row>
  </sheetData>
  <sheetProtection algorithmName="SHA-512" hashValue="2W91razha3kyV75UuZ7KMENwgGyxxXDHn4SpyN8CpUHbmk9mxu8w/lYrO5kKG6E69hJF8rJ48PZVPBntFRCeEA==" saltValue="YIGB1z0h9rWCBBMUdTYbBg==" spinCount="100000" sheet="1" objects="1" scenarios="1"/>
  <mergeCells count="1">
    <mergeCell ref="I4:J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AA65"/>
  <sheetViews>
    <sheetView showGridLines="0" tabSelected="1" view="pageBreakPreview" zoomScale="98" zoomScaleNormal="70" zoomScaleSheetLayoutView="98" workbookViewId="0">
      <selection activeCell="I16" sqref="I16"/>
    </sheetView>
  </sheetViews>
  <sheetFormatPr defaultRowHeight="13.8" x14ac:dyDescent="0.25"/>
  <cols>
    <col min="1" max="1" width="3.88671875" style="1" customWidth="1"/>
    <col min="2" max="2" width="5.21875" style="1" customWidth="1"/>
    <col min="3" max="3" width="22.5546875" style="1" customWidth="1"/>
    <col min="4" max="4" width="5.33203125" style="1" customWidth="1"/>
    <col min="5" max="5" width="2.109375" style="1" customWidth="1"/>
    <col min="6" max="9" width="8.88671875" style="1"/>
    <col min="10" max="10" width="6" style="1" customWidth="1"/>
    <col min="11" max="12" width="8.88671875" style="1"/>
    <col min="13" max="13" width="12.21875" style="1" bestFit="1" customWidth="1"/>
    <col min="14" max="14" width="5.6640625" style="1" customWidth="1"/>
    <col min="15" max="15" width="4" style="1" customWidth="1"/>
    <col min="16" max="16" width="10.77734375" style="1" customWidth="1"/>
    <col min="17" max="17" width="28.5546875" style="1" hidden="1" customWidth="1"/>
    <col min="18" max="18" width="17.77734375" style="1" hidden="1" customWidth="1"/>
    <col min="19" max="19" width="17.77734375" style="1" customWidth="1"/>
    <col min="20" max="20" width="17.77734375" style="1" hidden="1" customWidth="1"/>
    <col min="21" max="21" width="10.77734375" style="1" hidden="1" customWidth="1"/>
    <col min="22" max="27" width="8.88671875" style="1" hidden="1" customWidth="1"/>
    <col min="28" max="28" width="0" style="1" hidden="1" customWidth="1"/>
    <col min="29" max="16384" width="8.88671875" style="1"/>
  </cols>
  <sheetData>
    <row r="1" spans="2:24" ht="14.4" customHeight="1" x14ac:dyDescent="0.25">
      <c r="B1" s="75" t="s">
        <v>0</v>
      </c>
      <c r="C1" s="75"/>
      <c r="D1" s="75"/>
      <c r="E1" s="75"/>
      <c r="F1" s="75"/>
      <c r="G1" s="75"/>
      <c r="H1" s="75"/>
      <c r="I1" s="75"/>
      <c r="J1" s="75"/>
      <c r="K1" s="75"/>
      <c r="L1" s="75"/>
      <c r="M1" s="75"/>
      <c r="N1" s="75"/>
      <c r="V1" s="16">
        <v>1</v>
      </c>
      <c r="W1" s="16">
        <v>1</v>
      </c>
      <c r="X1" s="16">
        <v>2023</v>
      </c>
    </row>
    <row r="2" spans="2:24" ht="14.4" customHeight="1" thickBot="1" x14ac:dyDescent="0.3">
      <c r="B2" s="75"/>
      <c r="C2" s="75"/>
      <c r="D2" s="75"/>
      <c r="E2" s="75"/>
      <c r="F2" s="75"/>
      <c r="G2" s="75"/>
      <c r="H2" s="75"/>
      <c r="I2" s="75"/>
      <c r="J2" s="75"/>
      <c r="K2" s="75"/>
      <c r="L2" s="75"/>
      <c r="M2" s="75"/>
      <c r="N2" s="75"/>
      <c r="V2" s="16">
        <f>+V1+1</f>
        <v>2</v>
      </c>
      <c r="W2" s="16">
        <f>+W1+1</f>
        <v>2</v>
      </c>
      <c r="X2" s="16">
        <v>2023</v>
      </c>
    </row>
    <row r="3" spans="2:24" ht="13.8" customHeight="1" x14ac:dyDescent="0.25">
      <c r="B3" s="75"/>
      <c r="C3" s="75"/>
      <c r="D3" s="75"/>
      <c r="E3" s="75"/>
      <c r="F3" s="75"/>
      <c r="G3" s="75"/>
      <c r="H3" s="75"/>
      <c r="I3" s="75"/>
      <c r="J3" s="75"/>
      <c r="K3" s="75"/>
      <c r="L3" s="75"/>
      <c r="M3" s="75"/>
      <c r="N3" s="75"/>
      <c r="Q3" s="22"/>
      <c r="R3" s="23"/>
      <c r="V3" s="16">
        <f t="shared" ref="V3:V63" si="0">+V2+1</f>
        <v>3</v>
      </c>
      <c r="W3" s="16">
        <f t="shared" ref="W3:W13" si="1">+W2+1</f>
        <v>3</v>
      </c>
      <c r="X3" s="16">
        <v>2023</v>
      </c>
    </row>
    <row r="4" spans="2:24" ht="24.6" customHeight="1" x14ac:dyDescent="0.25">
      <c r="B4" s="82" t="s">
        <v>64</v>
      </c>
      <c r="C4" s="82"/>
      <c r="D4" s="82"/>
      <c r="E4" s="82"/>
      <c r="F4" s="82"/>
      <c r="G4" s="82"/>
      <c r="H4" s="82"/>
      <c r="I4" s="82"/>
      <c r="J4" s="82"/>
      <c r="K4" s="82"/>
      <c r="L4" s="82"/>
      <c r="M4" s="82"/>
      <c r="N4" s="82"/>
      <c r="Q4" s="24" t="s">
        <v>55</v>
      </c>
      <c r="R4" s="25">
        <f>+C19</f>
        <v>43831</v>
      </c>
      <c r="S4" s="10"/>
      <c r="T4" s="10"/>
      <c r="V4" s="16">
        <f t="shared" si="0"/>
        <v>4</v>
      </c>
      <c r="W4" s="16">
        <f t="shared" si="1"/>
        <v>4</v>
      </c>
      <c r="X4" s="16">
        <v>2023</v>
      </c>
    </row>
    <row r="5" spans="2:24" ht="24.6" customHeight="1" x14ac:dyDescent="0.25">
      <c r="B5" s="82"/>
      <c r="C5" s="82"/>
      <c r="D5" s="82"/>
      <c r="E5" s="82"/>
      <c r="F5" s="82"/>
      <c r="G5" s="82"/>
      <c r="H5" s="82"/>
      <c r="I5" s="82"/>
      <c r="J5" s="82"/>
      <c r="K5" s="82"/>
      <c r="L5" s="82"/>
      <c r="M5" s="82"/>
      <c r="N5" s="82"/>
      <c r="Q5" s="24" t="s">
        <v>51</v>
      </c>
      <c r="R5" s="25">
        <f>+R4+R8</f>
        <v>51131</v>
      </c>
      <c r="S5" s="10"/>
      <c r="T5" s="10"/>
      <c r="V5" s="16">
        <f t="shared" si="0"/>
        <v>5</v>
      </c>
      <c r="W5" s="16">
        <f t="shared" si="1"/>
        <v>5</v>
      </c>
      <c r="X5" s="16">
        <v>2023</v>
      </c>
    </row>
    <row r="6" spans="2:24" ht="25.2" customHeight="1" x14ac:dyDescent="0.25">
      <c r="B6" s="82"/>
      <c r="C6" s="82"/>
      <c r="D6" s="82"/>
      <c r="E6" s="82"/>
      <c r="F6" s="82"/>
      <c r="G6" s="82"/>
      <c r="H6" s="82"/>
      <c r="I6" s="82"/>
      <c r="J6" s="82"/>
      <c r="K6" s="82"/>
      <c r="L6" s="82"/>
      <c r="M6" s="82"/>
      <c r="N6" s="82"/>
      <c r="O6" s="5"/>
      <c r="Q6" s="24" t="s">
        <v>27</v>
      </c>
      <c r="R6" s="25">
        <f ca="1">+TODAY()</f>
        <v>45600</v>
      </c>
      <c r="S6" s="10"/>
      <c r="T6" s="10"/>
      <c r="V6" s="16">
        <f t="shared" si="0"/>
        <v>6</v>
      </c>
      <c r="W6" s="16">
        <f t="shared" si="1"/>
        <v>6</v>
      </c>
      <c r="X6" s="16">
        <v>2023</v>
      </c>
    </row>
    <row r="7" spans="2:24" ht="12" customHeight="1" thickBot="1" x14ac:dyDescent="0.3">
      <c r="B7" s="39"/>
      <c r="C7" s="39"/>
      <c r="D7" s="39"/>
      <c r="E7" s="39"/>
      <c r="F7" s="39"/>
      <c r="G7" s="39"/>
      <c r="H7" s="39"/>
      <c r="I7" s="39"/>
      <c r="J7" s="39"/>
      <c r="K7" s="39"/>
      <c r="L7" s="39"/>
      <c r="M7" s="39"/>
      <c r="N7" s="39"/>
      <c r="O7" s="5"/>
      <c r="Q7" s="24"/>
      <c r="R7" s="25"/>
      <c r="S7" s="10"/>
      <c r="T7" s="10"/>
      <c r="V7" s="16"/>
      <c r="W7" s="16"/>
      <c r="X7" s="16"/>
    </row>
    <row r="8" spans="2:24" ht="13.8" customHeight="1" x14ac:dyDescent="0.25">
      <c r="B8" s="89" t="s">
        <v>81</v>
      </c>
      <c r="C8" s="90"/>
      <c r="D8" s="91"/>
      <c r="F8" s="76" t="s">
        <v>34</v>
      </c>
      <c r="G8" s="77"/>
      <c r="H8" s="77"/>
      <c r="I8" s="78"/>
      <c r="L8" s="56" t="s">
        <v>8</v>
      </c>
      <c r="M8" s="52">
        <f>+Full_Report!C86-Refinance_Calculator!M9</f>
        <v>32.535678950342813</v>
      </c>
      <c r="Q8" s="24" t="s">
        <v>52</v>
      </c>
      <c r="R8" s="26">
        <f>+(C16/12)*365</f>
        <v>7300</v>
      </c>
      <c r="S8" s="11"/>
      <c r="T8" s="11"/>
      <c r="V8" s="16">
        <f>+V6+1</f>
        <v>7</v>
      </c>
      <c r="W8" s="16">
        <f>+W6+1</f>
        <v>7</v>
      </c>
      <c r="X8" s="16">
        <v>2023</v>
      </c>
    </row>
    <row r="9" spans="2:24" ht="27.6" x14ac:dyDescent="0.25">
      <c r="B9" s="24"/>
      <c r="C9" s="4" t="s">
        <v>1</v>
      </c>
      <c r="D9" s="47"/>
      <c r="F9" s="79">
        <f>+M8</f>
        <v>32.535678950342813</v>
      </c>
      <c r="G9" s="80"/>
      <c r="H9" s="80"/>
      <c r="I9" s="81"/>
      <c r="L9" s="56" t="s">
        <v>9</v>
      </c>
      <c r="M9" s="53">
        <f>-PMT($C$26/12,$C$29,($C$23+C35),0,0)</f>
        <v>92.930331398676614</v>
      </c>
      <c r="P9" s="5"/>
      <c r="Q9" s="24" t="s">
        <v>53</v>
      </c>
      <c r="R9" s="27">
        <f ca="1">+R5-R6</f>
        <v>5531</v>
      </c>
      <c r="S9" s="8"/>
      <c r="T9" s="8"/>
      <c r="V9" s="16">
        <f t="shared" si="0"/>
        <v>8</v>
      </c>
      <c r="W9" s="16">
        <f t="shared" si="1"/>
        <v>8</v>
      </c>
      <c r="X9" s="16">
        <v>2023</v>
      </c>
    </row>
    <row r="10" spans="2:24" ht="13.8" customHeight="1" thickBot="1" x14ac:dyDescent="0.3">
      <c r="B10" s="24"/>
      <c r="C10" s="67">
        <v>15000</v>
      </c>
      <c r="D10" s="46"/>
      <c r="F10" s="30"/>
      <c r="G10" s="41"/>
      <c r="H10" s="42"/>
      <c r="I10" s="43" t="s">
        <v>35</v>
      </c>
      <c r="L10" s="56" t="s">
        <v>50</v>
      </c>
      <c r="M10" s="53">
        <f>+Full_Report!C86</f>
        <v>125.46601034901943</v>
      </c>
      <c r="Q10" s="24"/>
      <c r="R10" s="28"/>
      <c r="V10" s="16">
        <f t="shared" si="0"/>
        <v>9</v>
      </c>
      <c r="W10" s="16">
        <f t="shared" si="1"/>
        <v>9</v>
      </c>
      <c r="X10" s="16">
        <v>2023</v>
      </c>
    </row>
    <row r="11" spans="2:24" ht="12" customHeight="1" x14ac:dyDescent="0.25">
      <c r="B11" s="24"/>
      <c r="D11" s="28"/>
      <c r="L11" s="56" t="s">
        <v>10</v>
      </c>
      <c r="M11" s="54">
        <f>IF(C32="0","",(ROUND(C32/M8,0)))</f>
        <v>184</v>
      </c>
      <c r="Q11" s="24"/>
      <c r="R11" s="27"/>
      <c r="S11" s="8"/>
      <c r="T11" s="8"/>
      <c r="V11" s="16">
        <f t="shared" si="0"/>
        <v>10</v>
      </c>
      <c r="W11" s="16">
        <f t="shared" si="1"/>
        <v>10</v>
      </c>
      <c r="X11" s="16">
        <v>2023</v>
      </c>
    </row>
    <row r="12" spans="2:24" x14ac:dyDescent="0.25">
      <c r="B12" s="24"/>
      <c r="C12" s="4" t="s">
        <v>19</v>
      </c>
      <c r="D12" s="47"/>
      <c r="L12" s="56" t="s">
        <v>11</v>
      </c>
      <c r="M12" s="52">
        <f>+C32</f>
        <v>6000</v>
      </c>
      <c r="Q12" s="24" t="s">
        <v>56</v>
      </c>
      <c r="R12" s="27">
        <f ca="1">-((YEAR(R4)-YEAR(R6))*12)+ABS(MONTH(R4)-MONTH(R6))</f>
        <v>58</v>
      </c>
      <c r="S12" s="8"/>
      <c r="T12" s="8"/>
      <c r="V12" s="16">
        <f t="shared" si="0"/>
        <v>11</v>
      </c>
      <c r="W12" s="16">
        <f t="shared" si="1"/>
        <v>11</v>
      </c>
      <c r="X12" s="16">
        <v>2023</v>
      </c>
    </row>
    <row r="13" spans="2:24" x14ac:dyDescent="0.25">
      <c r="B13" s="24"/>
      <c r="C13" s="69">
        <v>0.08</v>
      </c>
      <c r="D13" s="48"/>
      <c r="L13" s="56" t="s">
        <v>12</v>
      </c>
      <c r="M13" s="55">
        <f ca="1">+(R26*M8)-M12+C35-'Internal Working'!M1</f>
        <v>-16245.571430351065</v>
      </c>
      <c r="Q13" s="24" t="s">
        <v>54</v>
      </c>
      <c r="R13" s="26">
        <f ca="1">+INT(R9/30)</f>
        <v>184</v>
      </c>
      <c r="S13" s="11"/>
      <c r="T13" s="11"/>
      <c r="V13" s="16">
        <f t="shared" si="0"/>
        <v>12</v>
      </c>
      <c r="W13" s="16">
        <f t="shared" si="1"/>
        <v>12</v>
      </c>
      <c r="X13" s="16">
        <v>2023</v>
      </c>
    </row>
    <row r="14" spans="2:24" x14ac:dyDescent="0.25">
      <c r="B14" s="24"/>
      <c r="D14" s="28"/>
      <c r="Q14" s="24"/>
      <c r="R14" s="29">
        <f ca="1">+R13*M8</f>
        <v>5986.5649268630777</v>
      </c>
      <c r="S14" s="5"/>
      <c r="T14" s="5"/>
      <c r="V14" s="1">
        <f t="shared" si="0"/>
        <v>13</v>
      </c>
      <c r="W14" s="1">
        <v>1</v>
      </c>
      <c r="X14" s="1">
        <v>2024</v>
      </c>
    </row>
    <row r="15" spans="2:24" ht="14.4" thickBot="1" x14ac:dyDescent="0.3">
      <c r="B15" s="24"/>
      <c r="C15" s="4" t="s">
        <v>2</v>
      </c>
      <c r="D15" s="47"/>
      <c r="K15" s="40"/>
      <c r="L15" s="40"/>
      <c r="M15" s="40"/>
      <c r="Q15" s="30"/>
      <c r="R15" s="31"/>
      <c r="V15" s="1">
        <f t="shared" si="0"/>
        <v>14</v>
      </c>
      <c r="W15" s="1">
        <f>++W14+1</f>
        <v>2</v>
      </c>
      <c r="X15" s="1">
        <v>2024</v>
      </c>
    </row>
    <row r="16" spans="2:24" x14ac:dyDescent="0.25">
      <c r="B16" s="24"/>
      <c r="C16" s="68">
        <v>240</v>
      </c>
      <c r="D16" s="49"/>
      <c r="K16" s="40"/>
      <c r="L16" s="40"/>
      <c r="M16" s="40"/>
      <c r="V16" s="1">
        <f t="shared" si="0"/>
        <v>15</v>
      </c>
      <c r="W16" s="1">
        <f t="shared" ref="W16:W25" si="2">++W15+1</f>
        <v>3</v>
      </c>
      <c r="X16" s="1">
        <v>2024</v>
      </c>
    </row>
    <row r="17" spans="2:27" ht="14.4" thickBot="1" x14ac:dyDescent="0.3">
      <c r="B17" s="24"/>
      <c r="D17" s="28"/>
      <c r="K17" s="40"/>
      <c r="L17" s="40"/>
      <c r="M17" s="40"/>
      <c r="O17" s="6"/>
      <c r="P17" s="6"/>
      <c r="V17" s="1">
        <f t="shared" si="0"/>
        <v>16</v>
      </c>
      <c r="W17" s="1">
        <f t="shared" si="2"/>
        <v>4</v>
      </c>
      <c r="X17" s="1">
        <v>2024</v>
      </c>
    </row>
    <row r="18" spans="2:27" x14ac:dyDescent="0.25">
      <c r="B18" s="24"/>
      <c r="C18" s="4" t="s">
        <v>43</v>
      </c>
      <c r="D18" s="47"/>
      <c r="N18" s="6"/>
      <c r="Q18" s="22"/>
      <c r="R18" s="23"/>
      <c r="U18" s="6"/>
      <c r="V18" s="1">
        <f t="shared" si="0"/>
        <v>17</v>
      </c>
      <c r="W18" s="1">
        <f t="shared" si="2"/>
        <v>5</v>
      </c>
      <c r="X18" s="1">
        <v>2024</v>
      </c>
    </row>
    <row r="19" spans="2:27" x14ac:dyDescent="0.25">
      <c r="B19" s="24"/>
      <c r="C19" s="70">
        <v>43831</v>
      </c>
      <c r="D19" s="25"/>
      <c r="N19" s="5"/>
      <c r="Q19" s="24" t="s">
        <v>28</v>
      </c>
      <c r="R19" s="27">
        <f ca="1">+MONTH(R6)</f>
        <v>11</v>
      </c>
      <c r="S19" s="8"/>
      <c r="V19" s="1">
        <f t="shared" si="0"/>
        <v>18</v>
      </c>
      <c r="W19" s="1">
        <f t="shared" si="2"/>
        <v>6</v>
      </c>
      <c r="X19" s="1">
        <v>2024</v>
      </c>
    </row>
    <row r="20" spans="2:27" ht="14.4" thickBot="1" x14ac:dyDescent="0.3">
      <c r="B20" s="30"/>
      <c r="C20" s="42"/>
      <c r="D20" s="31"/>
      <c r="O20" s="6"/>
      <c r="Q20" s="24" t="s">
        <v>29</v>
      </c>
      <c r="R20" s="27">
        <f ca="1">+YEAR(R6)</f>
        <v>2024</v>
      </c>
      <c r="S20" s="8"/>
      <c r="V20" s="1">
        <f t="shared" si="0"/>
        <v>19</v>
      </c>
      <c r="W20" s="1">
        <f t="shared" si="2"/>
        <v>7</v>
      </c>
      <c r="X20" s="1">
        <v>2024</v>
      </c>
    </row>
    <row r="21" spans="2:27" ht="14.4" thickBot="1" x14ac:dyDescent="0.3">
      <c r="O21" s="6"/>
      <c r="Q21" s="24" t="s">
        <v>33</v>
      </c>
      <c r="R21" s="27">
        <f>12-MONTH(C19)+1</f>
        <v>12</v>
      </c>
      <c r="S21" s="8"/>
      <c r="T21" s="11"/>
      <c r="V21" s="1">
        <f t="shared" si="0"/>
        <v>20</v>
      </c>
      <c r="W21" s="18">
        <f t="shared" si="2"/>
        <v>8</v>
      </c>
      <c r="X21" s="1">
        <v>2024</v>
      </c>
    </row>
    <row r="22" spans="2:27" x14ac:dyDescent="0.25">
      <c r="B22" s="22"/>
      <c r="C22" s="44" t="s">
        <v>3</v>
      </c>
      <c r="D22" s="45"/>
      <c r="Q22" s="24" t="s">
        <v>30</v>
      </c>
      <c r="R22" s="27">
        <f ca="1">+R20-(YEAR(C19))</f>
        <v>4</v>
      </c>
      <c r="S22" s="8"/>
      <c r="T22" s="11"/>
      <c r="V22" s="1">
        <f t="shared" si="0"/>
        <v>21</v>
      </c>
      <c r="W22" s="18">
        <f t="shared" si="2"/>
        <v>9</v>
      </c>
      <c r="X22" s="1">
        <v>2024</v>
      </c>
    </row>
    <row r="23" spans="2:27" x14ac:dyDescent="0.25">
      <c r="B23" s="24"/>
      <c r="C23" s="67">
        <v>15000</v>
      </c>
      <c r="D23" s="46"/>
      <c r="Q23" s="24" t="s">
        <v>32</v>
      </c>
      <c r="R23" s="27">
        <f ca="1">(+R22*12)</f>
        <v>48</v>
      </c>
      <c r="S23" s="8"/>
      <c r="V23" s="1">
        <f t="shared" si="0"/>
        <v>22</v>
      </c>
      <c r="W23" s="18">
        <f t="shared" si="2"/>
        <v>10</v>
      </c>
      <c r="X23" s="1">
        <v>2024</v>
      </c>
      <c r="Z23" s="1">
        <v>4</v>
      </c>
    </row>
    <row r="24" spans="2:27" x14ac:dyDescent="0.25">
      <c r="B24" s="24"/>
      <c r="D24" s="28"/>
      <c r="Q24" s="24"/>
      <c r="R24" s="27"/>
      <c r="S24" s="8"/>
      <c r="U24" s="1">
        <v>1</v>
      </c>
      <c r="V24" s="4">
        <f t="shared" si="0"/>
        <v>23</v>
      </c>
      <c r="W24" s="19">
        <f t="shared" si="2"/>
        <v>11</v>
      </c>
      <c r="X24" s="4">
        <v>2024</v>
      </c>
      <c r="Z24" s="1">
        <f>36-Z23</f>
        <v>32</v>
      </c>
      <c r="AA24" s="1">
        <f>+COUNT(V24:V37)</f>
        <v>14</v>
      </c>
    </row>
    <row r="25" spans="2:27" x14ac:dyDescent="0.25">
      <c r="B25" s="24"/>
      <c r="C25" s="4" t="s">
        <v>4</v>
      </c>
      <c r="D25" s="47"/>
      <c r="Q25" s="24" t="s">
        <v>31</v>
      </c>
      <c r="R25" s="27">
        <f ca="1">+R23+R21-1</f>
        <v>59</v>
      </c>
      <c r="S25" s="8"/>
      <c r="T25" s="11"/>
      <c r="U25" s="1">
        <f>+U24+1</f>
        <v>2</v>
      </c>
      <c r="V25" s="1">
        <f t="shared" si="0"/>
        <v>24</v>
      </c>
      <c r="W25" s="18">
        <f t="shared" si="2"/>
        <v>12</v>
      </c>
      <c r="X25" s="1">
        <v>2024</v>
      </c>
      <c r="Z25" s="11">
        <f>C29-Z23</f>
        <v>356</v>
      </c>
    </row>
    <row r="26" spans="2:27" x14ac:dyDescent="0.25">
      <c r="B26" s="24"/>
      <c r="C26" s="69">
        <v>0.06</v>
      </c>
      <c r="D26" s="48"/>
      <c r="Q26" s="24" t="s">
        <v>59</v>
      </c>
      <c r="R26" s="27">
        <f ca="1">+C16-R25</f>
        <v>181</v>
      </c>
      <c r="S26" s="8"/>
      <c r="T26" s="11"/>
      <c r="U26" s="1">
        <f t="shared" ref="U26:U63" si="3">+U25+1</f>
        <v>3</v>
      </c>
      <c r="V26" s="16">
        <f t="shared" si="0"/>
        <v>25</v>
      </c>
      <c r="W26" s="18">
        <v>1</v>
      </c>
      <c r="X26" s="16">
        <v>2025</v>
      </c>
    </row>
    <row r="27" spans="2:27" x14ac:dyDescent="0.25">
      <c r="B27" s="24"/>
      <c r="D27" s="28"/>
      <c r="Q27" s="24"/>
      <c r="R27" s="28"/>
      <c r="U27" s="1">
        <f t="shared" si="3"/>
        <v>4</v>
      </c>
      <c r="V27" s="16">
        <f t="shared" si="0"/>
        <v>26</v>
      </c>
      <c r="W27" s="18">
        <f>+W26+1</f>
        <v>2</v>
      </c>
      <c r="X27" s="16">
        <v>2025</v>
      </c>
    </row>
    <row r="28" spans="2:27" x14ac:dyDescent="0.25">
      <c r="B28" s="24"/>
      <c r="C28" s="4" t="s">
        <v>5</v>
      </c>
      <c r="D28" s="47"/>
      <c r="Q28" s="24"/>
      <c r="R28" s="28"/>
      <c r="U28" s="1">
        <f t="shared" si="3"/>
        <v>5</v>
      </c>
      <c r="V28" s="16">
        <f t="shared" si="0"/>
        <v>27</v>
      </c>
      <c r="W28" s="18">
        <f t="shared" ref="W28:W37" si="4">+W27+1</f>
        <v>3</v>
      </c>
      <c r="X28" s="16">
        <v>2025</v>
      </c>
    </row>
    <row r="29" spans="2:27" x14ac:dyDescent="0.25">
      <c r="B29" s="24"/>
      <c r="C29" s="68">
        <v>360</v>
      </c>
      <c r="D29" s="49"/>
      <c r="Q29" s="24" t="s">
        <v>23</v>
      </c>
      <c r="R29" s="32">
        <f>-CUMIPMT(C13/12,C16,C10,1,C16,0)</f>
        <v>15111.842483764665</v>
      </c>
      <c r="S29" s="15"/>
      <c r="T29" s="15"/>
      <c r="U29" s="1">
        <f t="shared" si="3"/>
        <v>6</v>
      </c>
      <c r="V29" s="16">
        <f t="shared" si="0"/>
        <v>28</v>
      </c>
      <c r="W29" s="18">
        <f t="shared" si="4"/>
        <v>4</v>
      </c>
      <c r="X29" s="16">
        <v>2025</v>
      </c>
    </row>
    <row r="30" spans="2:27" x14ac:dyDescent="0.25">
      <c r="B30" s="24"/>
      <c r="D30" s="28"/>
      <c r="Q30" s="24" t="s">
        <v>24</v>
      </c>
      <c r="R30" s="33">
        <f>+Full_Report!C86*Refinance_Calculator!C16</f>
        <v>30111.842483764663</v>
      </c>
      <c r="S30" s="7"/>
      <c r="T30" s="7"/>
      <c r="U30" s="1">
        <f t="shared" si="3"/>
        <v>7</v>
      </c>
      <c r="V30" s="16">
        <f t="shared" si="0"/>
        <v>29</v>
      </c>
      <c r="W30" s="18">
        <f t="shared" si="4"/>
        <v>5</v>
      </c>
      <c r="X30" s="16">
        <v>2025</v>
      </c>
    </row>
    <row r="31" spans="2:27" x14ac:dyDescent="0.25">
      <c r="B31" s="24"/>
      <c r="C31" s="4" t="s">
        <v>6</v>
      </c>
      <c r="D31" s="47"/>
      <c r="Q31" s="24"/>
      <c r="R31" s="28"/>
      <c r="U31" s="1">
        <f t="shared" si="3"/>
        <v>8</v>
      </c>
      <c r="V31" s="16">
        <f t="shared" si="0"/>
        <v>30</v>
      </c>
      <c r="W31" s="18">
        <f t="shared" si="4"/>
        <v>6</v>
      </c>
      <c r="X31" s="16">
        <v>2025</v>
      </c>
    </row>
    <row r="32" spans="2:27" x14ac:dyDescent="0.25">
      <c r="B32" s="24"/>
      <c r="C32" s="67">
        <v>6000</v>
      </c>
      <c r="D32" s="46"/>
      <c r="Q32" s="24" t="s">
        <v>25</v>
      </c>
      <c r="R32" s="33">
        <f>-CUMIPMT(C26/12,C29,C23,1,C29,0)</f>
        <v>17375.728358248623</v>
      </c>
      <c r="S32" s="7"/>
      <c r="T32" s="7"/>
      <c r="U32" s="1">
        <f t="shared" si="3"/>
        <v>9</v>
      </c>
      <c r="V32" s="16">
        <f t="shared" si="0"/>
        <v>31</v>
      </c>
      <c r="W32" s="18">
        <f t="shared" si="4"/>
        <v>7</v>
      </c>
      <c r="X32" s="16">
        <v>2025</v>
      </c>
    </row>
    <row r="33" spans="2:24" x14ac:dyDescent="0.25">
      <c r="B33" s="24"/>
      <c r="D33" s="28"/>
      <c r="Q33" s="24" t="s">
        <v>26</v>
      </c>
      <c r="R33" s="33">
        <f>+M9*C29</f>
        <v>33454.91930352358</v>
      </c>
      <c r="S33" s="7"/>
      <c r="T33" s="7"/>
      <c r="U33" s="1">
        <f t="shared" si="3"/>
        <v>10</v>
      </c>
      <c r="V33" s="16">
        <f t="shared" si="0"/>
        <v>32</v>
      </c>
      <c r="W33" s="20">
        <f t="shared" si="4"/>
        <v>8</v>
      </c>
      <c r="X33" s="16">
        <v>2025</v>
      </c>
    </row>
    <row r="34" spans="2:24" ht="14.4" thickBot="1" x14ac:dyDescent="0.3">
      <c r="B34" s="24"/>
      <c r="C34" s="4" t="s">
        <v>7</v>
      </c>
      <c r="D34" s="47"/>
      <c r="Q34" s="30"/>
      <c r="R34" s="31"/>
      <c r="U34" s="1">
        <f t="shared" si="3"/>
        <v>11</v>
      </c>
      <c r="V34" s="16">
        <f t="shared" si="0"/>
        <v>33</v>
      </c>
      <c r="W34" s="20">
        <f t="shared" si="4"/>
        <v>9</v>
      </c>
      <c r="X34" s="16">
        <v>2025</v>
      </c>
    </row>
    <row r="35" spans="2:24" x14ac:dyDescent="0.25">
      <c r="B35" s="24"/>
      <c r="C35" s="67">
        <v>500</v>
      </c>
      <c r="D35" s="46"/>
      <c r="U35" s="1">
        <f t="shared" si="3"/>
        <v>12</v>
      </c>
      <c r="V35" s="16">
        <f t="shared" si="0"/>
        <v>34</v>
      </c>
      <c r="W35" s="20">
        <f t="shared" si="4"/>
        <v>10</v>
      </c>
      <c r="X35" s="16">
        <v>2025</v>
      </c>
    </row>
    <row r="36" spans="2:24" ht="14.4" thickBot="1" x14ac:dyDescent="0.3">
      <c r="B36" s="30"/>
      <c r="C36" s="42"/>
      <c r="D36" s="31"/>
      <c r="U36" s="1">
        <f t="shared" si="3"/>
        <v>13</v>
      </c>
      <c r="V36" s="16">
        <f t="shared" si="0"/>
        <v>35</v>
      </c>
      <c r="W36" s="20">
        <f t="shared" si="4"/>
        <v>11</v>
      </c>
      <c r="X36" s="16">
        <v>2025</v>
      </c>
    </row>
    <row r="37" spans="2:24" ht="14.4" thickBot="1" x14ac:dyDescent="0.3">
      <c r="T37" s="14" t="s">
        <v>57</v>
      </c>
      <c r="U37" s="14">
        <f t="shared" si="3"/>
        <v>14</v>
      </c>
      <c r="V37" s="17">
        <f t="shared" si="0"/>
        <v>36</v>
      </c>
      <c r="W37" s="21">
        <f t="shared" si="4"/>
        <v>12</v>
      </c>
      <c r="X37" s="17">
        <v>2025</v>
      </c>
    </row>
    <row r="38" spans="2:24" ht="20.399999999999999" x14ac:dyDescent="0.35">
      <c r="C38" s="60" t="s">
        <v>65</v>
      </c>
      <c r="D38" s="50"/>
      <c r="E38" s="50"/>
      <c r="F38" s="50"/>
      <c r="G38" s="50"/>
      <c r="H38" s="50"/>
      <c r="I38" s="50"/>
      <c r="J38" s="50"/>
      <c r="K38" s="50"/>
      <c r="L38" s="50"/>
      <c r="M38" s="23"/>
      <c r="U38" s="1" t="e">
        <f>+#REF!+1</f>
        <v>#REF!</v>
      </c>
      <c r="V38" s="1" t="e">
        <f>+#REF!+1</f>
        <v>#REF!</v>
      </c>
      <c r="W38" s="20" t="e">
        <f>+#REF!+1</f>
        <v>#REF!</v>
      </c>
      <c r="X38" s="1">
        <v>2026</v>
      </c>
    </row>
    <row r="39" spans="2:24" x14ac:dyDescent="0.25">
      <c r="C39" s="24"/>
      <c r="M39" s="28"/>
      <c r="U39" s="1" t="e">
        <f t="shared" si="3"/>
        <v>#REF!</v>
      </c>
      <c r="V39" s="1" t="e">
        <f t="shared" si="0"/>
        <v>#REF!</v>
      </c>
      <c r="W39" s="20" t="e">
        <f t="shared" ref="W39:W65" si="5">+W38+1</f>
        <v>#REF!</v>
      </c>
      <c r="X39" s="1">
        <v>2026</v>
      </c>
    </row>
    <row r="40" spans="2:24" ht="100.8" customHeight="1" x14ac:dyDescent="0.25">
      <c r="C40" s="92" t="s">
        <v>66</v>
      </c>
      <c r="D40" s="93"/>
      <c r="E40" s="93"/>
      <c r="F40" s="93"/>
      <c r="G40" s="93"/>
      <c r="H40" s="93"/>
      <c r="I40" s="93"/>
      <c r="J40" s="93"/>
      <c r="K40" s="93"/>
      <c r="L40" s="93"/>
      <c r="M40" s="94"/>
      <c r="U40" s="1" t="e">
        <f t="shared" si="3"/>
        <v>#REF!</v>
      </c>
      <c r="V40" s="1" t="e">
        <f t="shared" si="0"/>
        <v>#REF!</v>
      </c>
      <c r="W40" s="20" t="e">
        <f t="shared" si="5"/>
        <v>#REF!</v>
      </c>
      <c r="X40" s="1">
        <v>2026</v>
      </c>
    </row>
    <row r="41" spans="2:24" ht="14.4" thickBot="1" x14ac:dyDescent="0.3">
      <c r="C41" s="30"/>
      <c r="D41" s="42"/>
      <c r="E41" s="42"/>
      <c r="F41" s="42"/>
      <c r="G41" s="42"/>
      <c r="H41" s="42"/>
      <c r="I41" s="42"/>
      <c r="J41" s="42"/>
      <c r="K41" s="42"/>
      <c r="L41" s="42"/>
      <c r="M41" s="31"/>
      <c r="U41" s="1" t="e">
        <f t="shared" si="3"/>
        <v>#REF!</v>
      </c>
      <c r="V41" s="1" t="e">
        <f t="shared" si="0"/>
        <v>#REF!</v>
      </c>
      <c r="W41" s="20" t="e">
        <f t="shared" si="5"/>
        <v>#REF!</v>
      </c>
      <c r="X41" s="1">
        <v>2026</v>
      </c>
    </row>
    <row r="42" spans="2:24" ht="14.4" thickBot="1" x14ac:dyDescent="0.3">
      <c r="U42" s="1" t="e">
        <f>+#REF!+1</f>
        <v>#REF!</v>
      </c>
      <c r="V42" s="1" t="e">
        <f>+#REF!+1</f>
        <v>#REF!</v>
      </c>
      <c r="W42" s="20" t="e">
        <f>+#REF!+1</f>
        <v>#REF!</v>
      </c>
      <c r="X42" s="1">
        <v>2026</v>
      </c>
    </row>
    <row r="43" spans="2:24" ht="20.399999999999999" x14ac:dyDescent="0.25">
      <c r="C43" s="83" t="s">
        <v>67</v>
      </c>
      <c r="D43" s="84"/>
      <c r="E43" s="84"/>
      <c r="F43" s="84"/>
      <c r="G43" s="84"/>
      <c r="H43" s="84"/>
      <c r="I43" s="84"/>
      <c r="J43" s="84"/>
      <c r="K43" s="84"/>
      <c r="L43" s="84"/>
      <c r="M43" s="85"/>
      <c r="U43" s="1" t="e">
        <f t="shared" si="3"/>
        <v>#REF!</v>
      </c>
      <c r="V43" s="1" t="e">
        <f t="shared" si="0"/>
        <v>#REF!</v>
      </c>
      <c r="W43" s="1" t="e">
        <f t="shared" si="5"/>
        <v>#REF!</v>
      </c>
      <c r="X43" s="1">
        <v>2026</v>
      </c>
    </row>
    <row r="44" spans="2:24" x14ac:dyDescent="0.25">
      <c r="C44" s="24"/>
      <c r="M44" s="28"/>
      <c r="U44" s="1" t="e">
        <f t="shared" si="3"/>
        <v>#REF!</v>
      </c>
      <c r="V44" s="1" t="e">
        <f t="shared" si="0"/>
        <v>#REF!</v>
      </c>
      <c r="W44" s="1" t="e">
        <f t="shared" si="5"/>
        <v>#REF!</v>
      </c>
      <c r="X44" s="1">
        <v>2026</v>
      </c>
    </row>
    <row r="45" spans="2:24" ht="101.4" customHeight="1" thickBot="1" x14ac:dyDescent="0.3">
      <c r="C45" s="86" t="s">
        <v>68</v>
      </c>
      <c r="D45" s="87"/>
      <c r="E45" s="87"/>
      <c r="F45" s="87"/>
      <c r="G45" s="87"/>
      <c r="H45" s="87"/>
      <c r="I45" s="87"/>
      <c r="J45" s="87"/>
      <c r="K45" s="87"/>
      <c r="L45" s="87"/>
      <c r="M45" s="88"/>
    </row>
    <row r="46" spans="2:24" ht="14.4" thickBot="1" x14ac:dyDescent="0.3"/>
    <row r="47" spans="2:24" ht="20.399999999999999" x14ac:dyDescent="0.25">
      <c r="C47" s="83" t="s">
        <v>69</v>
      </c>
      <c r="D47" s="84"/>
      <c r="E47" s="84"/>
      <c r="F47" s="84"/>
      <c r="G47" s="84"/>
      <c r="H47" s="84"/>
      <c r="I47" s="84"/>
      <c r="J47" s="84"/>
      <c r="K47" s="84"/>
      <c r="L47" s="84"/>
      <c r="M47" s="85"/>
    </row>
    <row r="48" spans="2:24" x14ac:dyDescent="0.25">
      <c r="C48" s="24"/>
      <c r="M48" s="28"/>
    </row>
    <row r="49" spans="3:24" ht="201" customHeight="1" thickBot="1" x14ac:dyDescent="0.3">
      <c r="C49" s="86" t="s">
        <v>70</v>
      </c>
      <c r="D49" s="87"/>
      <c r="E49" s="87"/>
      <c r="F49" s="87"/>
      <c r="G49" s="87"/>
      <c r="H49" s="87"/>
      <c r="I49" s="87"/>
      <c r="J49" s="87"/>
      <c r="K49" s="87"/>
      <c r="L49" s="87"/>
      <c r="M49" s="88"/>
    </row>
    <row r="51" spans="3:24" x14ac:dyDescent="0.25">
      <c r="U51" s="1" t="e">
        <f>+U44+1</f>
        <v>#REF!</v>
      </c>
      <c r="V51" s="1" t="e">
        <f>+V44+1</f>
        <v>#REF!</v>
      </c>
      <c r="W51" s="1" t="e">
        <f>+W44+1</f>
        <v>#REF!</v>
      </c>
      <c r="X51" s="1">
        <v>2026</v>
      </c>
    </row>
    <row r="52" spans="3:24" x14ac:dyDescent="0.25">
      <c r="U52" s="1" t="e">
        <f t="shared" si="3"/>
        <v>#REF!</v>
      </c>
      <c r="V52" s="1" t="e">
        <f t="shared" si="0"/>
        <v>#REF!</v>
      </c>
      <c r="W52" s="1" t="e">
        <f t="shared" si="5"/>
        <v>#REF!</v>
      </c>
      <c r="X52" s="1">
        <v>2026</v>
      </c>
    </row>
    <row r="53" spans="3:24" x14ac:dyDescent="0.25">
      <c r="U53" s="1" t="e">
        <f t="shared" si="3"/>
        <v>#REF!</v>
      </c>
      <c r="V53" s="1" t="e">
        <f t="shared" si="0"/>
        <v>#REF!</v>
      </c>
      <c r="W53" s="1" t="e">
        <f t="shared" si="5"/>
        <v>#REF!</v>
      </c>
      <c r="X53" s="1">
        <v>2026</v>
      </c>
    </row>
    <row r="54" spans="3:24" x14ac:dyDescent="0.25">
      <c r="U54" s="1" t="e">
        <f t="shared" si="3"/>
        <v>#REF!</v>
      </c>
      <c r="V54" s="16" t="e">
        <f t="shared" si="0"/>
        <v>#REF!</v>
      </c>
      <c r="W54" s="16">
        <v>1</v>
      </c>
      <c r="X54" s="16">
        <v>2027</v>
      </c>
    </row>
    <row r="55" spans="3:24" x14ac:dyDescent="0.25">
      <c r="U55" s="1" t="e">
        <f t="shared" si="3"/>
        <v>#REF!</v>
      </c>
      <c r="V55" s="16" t="e">
        <f t="shared" si="0"/>
        <v>#REF!</v>
      </c>
      <c r="W55" s="16">
        <f t="shared" ref="W55" si="6">+W54+1</f>
        <v>2</v>
      </c>
      <c r="X55" s="16">
        <v>2027</v>
      </c>
    </row>
    <row r="56" spans="3:24" x14ac:dyDescent="0.25">
      <c r="U56" s="1" t="e">
        <f t="shared" si="3"/>
        <v>#REF!</v>
      </c>
      <c r="V56" s="16" t="e">
        <f t="shared" si="0"/>
        <v>#REF!</v>
      </c>
      <c r="W56" s="16">
        <f t="shared" si="5"/>
        <v>3</v>
      </c>
      <c r="X56" s="16">
        <v>2027</v>
      </c>
    </row>
    <row r="57" spans="3:24" x14ac:dyDescent="0.25">
      <c r="U57" s="1" t="e">
        <f t="shared" si="3"/>
        <v>#REF!</v>
      </c>
      <c r="V57" s="16" t="e">
        <f t="shared" si="0"/>
        <v>#REF!</v>
      </c>
      <c r="W57" s="16">
        <f t="shared" si="5"/>
        <v>4</v>
      </c>
      <c r="X57" s="16">
        <v>2027</v>
      </c>
    </row>
    <row r="58" spans="3:24" x14ac:dyDescent="0.25">
      <c r="U58" s="1" t="e">
        <f t="shared" si="3"/>
        <v>#REF!</v>
      </c>
      <c r="V58" s="16" t="e">
        <f t="shared" si="0"/>
        <v>#REF!</v>
      </c>
      <c r="W58" s="16">
        <f t="shared" si="5"/>
        <v>5</v>
      </c>
      <c r="X58" s="16">
        <v>2027</v>
      </c>
    </row>
    <row r="59" spans="3:24" x14ac:dyDescent="0.25">
      <c r="U59" s="1" t="e">
        <f t="shared" si="3"/>
        <v>#REF!</v>
      </c>
      <c r="V59" s="16" t="e">
        <f t="shared" si="0"/>
        <v>#REF!</v>
      </c>
      <c r="W59" s="16">
        <f t="shared" si="5"/>
        <v>6</v>
      </c>
      <c r="X59" s="16">
        <v>2027</v>
      </c>
    </row>
    <row r="60" spans="3:24" x14ac:dyDescent="0.25">
      <c r="U60" s="1" t="e">
        <f t="shared" si="3"/>
        <v>#REF!</v>
      </c>
      <c r="V60" s="16" t="e">
        <f t="shared" si="0"/>
        <v>#REF!</v>
      </c>
      <c r="W60" s="16">
        <f t="shared" si="5"/>
        <v>7</v>
      </c>
      <c r="X60" s="16">
        <v>2027</v>
      </c>
    </row>
    <row r="61" spans="3:24" x14ac:dyDescent="0.25">
      <c r="U61" s="1" t="e">
        <f t="shared" si="3"/>
        <v>#REF!</v>
      </c>
      <c r="V61" s="16" t="e">
        <f t="shared" si="0"/>
        <v>#REF!</v>
      </c>
      <c r="W61" s="16">
        <f t="shared" si="5"/>
        <v>8</v>
      </c>
      <c r="X61" s="16">
        <v>2027</v>
      </c>
    </row>
    <row r="62" spans="3:24" x14ac:dyDescent="0.25">
      <c r="U62" s="1" t="e">
        <f t="shared" si="3"/>
        <v>#REF!</v>
      </c>
      <c r="V62" s="16" t="e">
        <f t="shared" si="0"/>
        <v>#REF!</v>
      </c>
      <c r="W62" s="16">
        <f t="shared" si="5"/>
        <v>9</v>
      </c>
      <c r="X62" s="16">
        <v>2027</v>
      </c>
    </row>
    <row r="63" spans="3:24" x14ac:dyDescent="0.25">
      <c r="T63" s="14" t="s">
        <v>58</v>
      </c>
      <c r="U63" s="14" t="e">
        <f t="shared" si="3"/>
        <v>#REF!</v>
      </c>
      <c r="V63" s="17" t="e">
        <f t="shared" si="0"/>
        <v>#REF!</v>
      </c>
      <c r="W63" s="17">
        <f t="shared" si="5"/>
        <v>10</v>
      </c>
      <c r="X63" s="17">
        <v>2027</v>
      </c>
    </row>
    <row r="64" spans="3:24" x14ac:dyDescent="0.25">
      <c r="U64" s="1" t="e">
        <f>+U63+1</f>
        <v>#REF!</v>
      </c>
      <c r="V64" s="16" t="e">
        <f>+V63+1</f>
        <v>#REF!</v>
      </c>
      <c r="W64" s="16">
        <f t="shared" si="5"/>
        <v>11</v>
      </c>
      <c r="X64" s="16">
        <v>2027</v>
      </c>
    </row>
    <row r="65" spans="21:24" x14ac:dyDescent="0.25">
      <c r="U65" s="1" t="e">
        <f>+U64+1</f>
        <v>#REF!</v>
      </c>
      <c r="V65" s="16" t="e">
        <f>+V64+1</f>
        <v>#REF!</v>
      </c>
      <c r="W65" s="16">
        <f t="shared" si="5"/>
        <v>12</v>
      </c>
      <c r="X65" s="16">
        <v>2027</v>
      </c>
    </row>
  </sheetData>
  <sheetProtection algorithmName="SHA-512" hashValue="XlL2JavP1MfgZgd9CgPqwsjAak1jSrYIb9sagWBia6cAIa+EceEaow4yj+bXdMQLJuSUsApY1gGn77N081OrpQ==" saltValue="BL404RGvAkteDt599X6Z4Q==" spinCount="100000" sheet="1" objects="1" scenarios="1"/>
  <mergeCells count="10">
    <mergeCell ref="C49:M49"/>
    <mergeCell ref="B8:D8"/>
    <mergeCell ref="C40:M40"/>
    <mergeCell ref="C43:M43"/>
    <mergeCell ref="C45:M45"/>
    <mergeCell ref="B1:N3"/>
    <mergeCell ref="F8:I8"/>
    <mergeCell ref="F9:I9"/>
    <mergeCell ref="B4:N6"/>
    <mergeCell ref="C47:M47"/>
  </mergeCells>
  <conditionalFormatting sqref="F9:I9">
    <cfRule type="cellIs" dxfId="0" priority="1" operator="lessThan">
      <formula>0</formula>
    </cfRule>
  </conditionalFormatting>
  <dataValidations xWindow="107" yWindow="432" count="9">
    <dataValidation type="date" allowBlank="1" showInputMessage="1" showErrorMessage="1" promptTitle="Date fromat and Range" prompt="Date in DD-MM-YYYY format" sqref="C19:D19" xr:uid="{EEDCD8B8-B7B0-4B35-8C5B-F082322EBB4D}">
      <formula1>1</formula1>
      <formula2>219512</formula2>
    </dataValidation>
    <dataValidation type="whole" allowBlank="1" showInputMessage="1" showErrorMessage="1" promptTitle="Maximum Term" prompt="Term only in Months to a maximum of 600 months" sqref="C16:D16" xr:uid="{FF8882DC-031C-4A49-90CE-B9B66704D59B}">
      <formula1>1</formula1>
      <formula2>600</formula2>
    </dataValidation>
    <dataValidation type="decimal" allowBlank="1" showInputMessage="1" showErrorMessage="1" promptTitle="Interest Rate Range" prompt="0.01% - 100.00%" sqref="C13:D13" xr:uid="{EDB9E97B-0114-46B1-A777-6532ED96F8D1}">
      <formula1>0.01</formula1>
      <formula2>100</formula2>
    </dataValidation>
    <dataValidation type="decimal" operator="greaterThan" allowBlank="1" showInputMessage="1" showErrorMessage="1" promptTitle="Current Loan Amount Range" prompt="Greater than $1.00" sqref="C10:D10" xr:uid="{14F018C6-C084-4245-9A33-BB7AE1AED3D9}">
      <formula1>1</formula1>
    </dataValidation>
    <dataValidation type="decimal" operator="greaterThan" allowBlank="1" showInputMessage="1" showErrorMessage="1" promptTitle="New Loan Amount Range" prompt="Greater than $1.00" sqref="C23:D23" xr:uid="{F68F608F-9D49-4457-80F2-1452149E1803}">
      <formula1>1</formula1>
    </dataValidation>
    <dataValidation type="decimal" allowBlank="1" showInputMessage="1" showErrorMessage="1" promptTitle="New Interest Rate" prompt="0.01% - 100.00%" sqref="C26:D26" xr:uid="{30589753-D5C1-418E-BCC6-A74A97772C8E}">
      <formula1>0.01</formula1>
      <formula2>100</formula2>
    </dataValidation>
    <dataValidation allowBlank="1" showInputMessage="1" showErrorMessage="1" promptTitle="Maximum Term" prompt="New term only in months upto 600 months" sqref="C29:D29" xr:uid="{11FA6F63-75AA-4DF6-945E-CCC3EFB5019B}"/>
    <dataValidation type="whole" operator="greaterThan" allowBlank="1" showInputMessage="1" showErrorMessage="1" promptTitle="Refinance Cost" prompt="Greater than $1.00" sqref="C32:D32" xr:uid="{386F9EC4-A53A-4BB3-8E6B-0F0628FB8D07}">
      <formula1>1</formula1>
    </dataValidation>
    <dataValidation type="decimal" operator="greaterThan" allowBlank="1" showInputMessage="1" showErrorMessage="1" promptTitle="Cash out" prompt="Greater than $1.00" sqref="C35:D35" xr:uid="{F9A3BCBD-3806-465C-A2EF-E1BF5A55DA2E}">
      <formula1>1</formula1>
    </dataValidation>
  </dataValidations>
  <pageMargins left="0.7" right="0.7" top="0.75" bottom="0.75" header="0.3" footer="0.3"/>
  <pageSetup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efreshAllPivotTablesAndCharts">
                <anchor moveWithCells="1" sizeWithCells="1">
                  <from>
                    <xdr:col>10</xdr:col>
                    <xdr:colOff>30480</xdr:colOff>
                    <xdr:row>14</xdr:row>
                    <xdr:rowOff>30480</xdr:rowOff>
                  </from>
                  <to>
                    <xdr:col>12</xdr:col>
                    <xdr:colOff>784860</xdr:colOff>
                    <xdr:row>16</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3B4C-2668-4FFD-B6B1-879644F908EF}">
  <sheetPr codeName="Sheet4"/>
  <dimension ref="A2:Q716"/>
  <sheetViews>
    <sheetView showGridLines="0" view="pageBreakPreview" topLeftCell="A22" zoomScale="85" zoomScaleNormal="70" zoomScaleSheetLayoutView="85" workbookViewId="0">
      <selection activeCell="E43" sqref="E43"/>
    </sheetView>
  </sheetViews>
  <sheetFormatPr defaultRowHeight="13.8" x14ac:dyDescent="0.25"/>
  <cols>
    <col min="1" max="1" width="16.109375" style="1" bestFit="1" customWidth="1"/>
    <col min="2" max="2" width="15.5546875" style="3" bestFit="1" customWidth="1"/>
    <col min="3" max="3" width="15.5546875" style="3" customWidth="1"/>
    <col min="4" max="4" width="15.5546875" style="3" bestFit="1" customWidth="1"/>
    <col min="5" max="5" width="11.77734375" style="3" bestFit="1" customWidth="1"/>
    <col min="6" max="6" width="14.6640625" style="3" bestFit="1" customWidth="1"/>
    <col min="7" max="7" width="19.44140625" style="1" bestFit="1" customWidth="1"/>
    <col min="8" max="8" width="18.5546875" style="1" bestFit="1" customWidth="1"/>
    <col min="9" max="9" width="8.88671875" style="1"/>
    <col min="10" max="10" width="12.5546875" style="1" hidden="1" customWidth="1"/>
    <col min="11" max="11" width="25" style="1" hidden="1" customWidth="1"/>
    <col min="12" max="12" width="24.21875" style="1" hidden="1" customWidth="1"/>
    <col min="13" max="13" width="20.5546875" style="1" hidden="1" customWidth="1"/>
    <col min="14" max="14" width="0" style="1" hidden="1" customWidth="1"/>
    <col min="15" max="15" width="12.5546875" style="1" hidden="1" customWidth="1"/>
    <col min="16" max="16" width="13.88671875" style="1" hidden="1" customWidth="1"/>
    <col min="17" max="17" width="14.6640625" style="1" hidden="1" customWidth="1"/>
    <col min="18" max="16384" width="8.88671875" style="1"/>
  </cols>
  <sheetData>
    <row r="2" spans="1:8" ht="22.8" x14ac:dyDescent="0.4">
      <c r="A2" s="59" t="s">
        <v>34</v>
      </c>
      <c r="G2" s="61">
        <f>+Refinance_Calculator!M8</f>
        <v>32.535678950342813</v>
      </c>
      <c r="H2" s="9" t="s">
        <v>35</v>
      </c>
    </row>
    <row r="4" spans="1:8" ht="17.399999999999999" x14ac:dyDescent="0.3">
      <c r="A4" s="58" t="s">
        <v>71</v>
      </c>
    </row>
    <row r="6" spans="1:8" x14ac:dyDescent="0.25">
      <c r="A6" s="62" t="s">
        <v>72</v>
      </c>
      <c r="B6" s="63"/>
      <c r="C6" s="63"/>
      <c r="D6" s="63"/>
      <c r="E6" s="63"/>
      <c r="F6" s="63"/>
      <c r="G6" s="64">
        <f>+Refinance_Calculator!C10</f>
        <v>15000</v>
      </c>
    </row>
    <row r="7" spans="1:8" x14ac:dyDescent="0.25">
      <c r="G7" s="4"/>
    </row>
    <row r="8" spans="1:8" x14ac:dyDescent="0.25">
      <c r="A8" s="62" t="s">
        <v>73</v>
      </c>
      <c r="B8" s="63"/>
      <c r="C8" s="63"/>
      <c r="D8" s="63"/>
      <c r="E8" s="63"/>
      <c r="F8" s="63"/>
      <c r="G8" s="65">
        <f>+Refinance_Calculator!C13</f>
        <v>0.08</v>
      </c>
    </row>
    <row r="9" spans="1:8" x14ac:dyDescent="0.25">
      <c r="G9" s="4"/>
    </row>
    <row r="10" spans="1:8" x14ac:dyDescent="0.25">
      <c r="A10" s="62" t="s">
        <v>74</v>
      </c>
      <c r="B10" s="63"/>
      <c r="C10" s="63"/>
      <c r="D10" s="63"/>
      <c r="E10" s="63"/>
      <c r="F10" s="63"/>
      <c r="G10" s="66">
        <f>+YEAR(Refinance_Calculator!C19)</f>
        <v>2020</v>
      </c>
    </row>
    <row r="11" spans="1:8" x14ac:dyDescent="0.25">
      <c r="G11" s="4"/>
    </row>
    <row r="12" spans="1:8" x14ac:dyDescent="0.25">
      <c r="A12" s="62" t="s">
        <v>75</v>
      </c>
      <c r="B12" s="63"/>
      <c r="C12" s="63"/>
      <c r="D12" s="63"/>
      <c r="E12" s="63"/>
      <c r="F12" s="63"/>
      <c r="G12" s="66">
        <f>+Refinance_Calculator!C16</f>
        <v>240</v>
      </c>
    </row>
    <row r="13" spans="1:8" x14ac:dyDescent="0.25">
      <c r="G13" s="4"/>
    </row>
    <row r="14" spans="1:8" ht="17.399999999999999" x14ac:dyDescent="0.3">
      <c r="A14" s="58" t="s">
        <v>76</v>
      </c>
      <c r="G14" s="4"/>
    </row>
    <row r="15" spans="1:8" x14ac:dyDescent="0.25">
      <c r="G15" s="4"/>
    </row>
    <row r="16" spans="1:8" x14ac:dyDescent="0.25">
      <c r="A16" s="62" t="s">
        <v>77</v>
      </c>
      <c r="B16" s="63"/>
      <c r="C16" s="63"/>
      <c r="D16" s="63"/>
      <c r="E16" s="63"/>
      <c r="F16" s="63"/>
      <c r="G16" s="64">
        <f>+Refinance_Calculator!C23</f>
        <v>15000</v>
      </c>
    </row>
    <row r="17" spans="1:7" x14ac:dyDescent="0.25">
      <c r="G17" s="4"/>
    </row>
    <row r="18" spans="1:7" x14ac:dyDescent="0.25">
      <c r="A18" s="62" t="s">
        <v>73</v>
      </c>
      <c r="B18" s="63"/>
      <c r="C18" s="63"/>
      <c r="D18" s="63"/>
      <c r="E18" s="63"/>
      <c r="F18" s="63"/>
      <c r="G18" s="65">
        <f>+Refinance_Calculator!C26</f>
        <v>0.06</v>
      </c>
    </row>
    <row r="19" spans="1:7" x14ac:dyDescent="0.25">
      <c r="G19" s="4"/>
    </row>
    <row r="20" spans="1:7" x14ac:dyDescent="0.25">
      <c r="A20" s="62" t="s">
        <v>75</v>
      </c>
      <c r="B20" s="63"/>
      <c r="C20" s="63"/>
      <c r="D20" s="63"/>
      <c r="E20" s="63"/>
      <c r="F20" s="63"/>
      <c r="G20" s="66">
        <f>+Refinance_Calculator!C29</f>
        <v>360</v>
      </c>
    </row>
    <row r="21" spans="1:7" x14ac:dyDescent="0.25">
      <c r="G21" s="4"/>
    </row>
    <row r="22" spans="1:7" x14ac:dyDescent="0.25">
      <c r="A22" s="62" t="s">
        <v>78</v>
      </c>
      <c r="B22" s="63"/>
      <c r="C22" s="63"/>
      <c r="D22" s="63"/>
      <c r="E22" s="63"/>
      <c r="F22" s="63"/>
      <c r="G22" s="64">
        <f>+Refinance_Calculator!C32</f>
        <v>6000</v>
      </c>
    </row>
    <row r="23" spans="1:7" x14ac:dyDescent="0.25">
      <c r="G23" s="4"/>
    </row>
    <row r="24" spans="1:7" x14ac:dyDescent="0.25">
      <c r="A24" s="62" t="s">
        <v>79</v>
      </c>
      <c r="B24" s="63"/>
      <c r="C24" s="63"/>
      <c r="D24" s="63"/>
      <c r="E24" s="63"/>
      <c r="F24" s="63"/>
      <c r="G24" s="64">
        <f>+Refinance_Calculator!C35</f>
        <v>500</v>
      </c>
    </row>
    <row r="26" spans="1:7" ht="22.8" x14ac:dyDescent="0.4">
      <c r="A26" s="59" t="s">
        <v>80</v>
      </c>
    </row>
    <row r="45" spans="1:1" ht="22.8" x14ac:dyDescent="0.4">
      <c r="A45" s="59" t="s">
        <v>44</v>
      </c>
    </row>
    <row r="64" spans="1:1" ht="22.8" x14ac:dyDescent="0.4">
      <c r="A64" s="59" t="s">
        <v>45</v>
      </c>
    </row>
    <row r="83" spans="1:17" ht="22.8" x14ac:dyDescent="0.4">
      <c r="A83" s="59" t="s">
        <v>13</v>
      </c>
      <c r="B83" s="1"/>
      <c r="C83" s="1"/>
      <c r="D83" s="1"/>
      <c r="E83" s="1"/>
      <c r="F83" s="1"/>
    </row>
    <row r="84" spans="1:17" x14ac:dyDescent="0.25">
      <c r="B84" s="1"/>
      <c r="C84" s="1"/>
      <c r="D84" s="1"/>
      <c r="E84" s="1"/>
      <c r="F84" s="1"/>
    </row>
    <row r="85" spans="1:17" ht="14.4" x14ac:dyDescent="0.3">
      <c r="A85" s="1" t="s">
        <v>14</v>
      </c>
      <c r="B85" s="1" t="s">
        <v>18</v>
      </c>
      <c r="C85" s="1" t="s">
        <v>20</v>
      </c>
      <c r="D85" s="1" t="s">
        <v>15</v>
      </c>
      <c r="E85" s="1" t="s">
        <v>16</v>
      </c>
      <c r="F85" s="1" t="s">
        <v>17</v>
      </c>
      <c r="G85" s="1" t="s">
        <v>22</v>
      </c>
      <c r="H85" s="1" t="s">
        <v>21</v>
      </c>
      <c r="O85" s="12" t="s">
        <v>36</v>
      </c>
      <c r="P85" t="s">
        <v>38</v>
      </c>
      <c r="Q85" t="s">
        <v>39</v>
      </c>
    </row>
    <row r="86" spans="1:17" ht="14.4" x14ac:dyDescent="0.3">
      <c r="A86" s="1">
        <v>1</v>
      </c>
      <c r="B86" s="3">
        <f>+Refinance_Calculator!C10</f>
        <v>15000</v>
      </c>
      <c r="C86" s="3">
        <f>IF(A86="","",(-PMT(Refinance_Calculator!$C$13/12,Refinance_Calculator!$C$16,Full_Report!$B$86,0,0)))</f>
        <v>125.46601034901943</v>
      </c>
      <c r="D86" s="3">
        <f>+IF(A86="","",(C86-E86))</f>
        <v>100</v>
      </c>
      <c r="E86" s="3">
        <f>IF(A86="","",(-PPMT(Refinance_Calculator!$C$13/12,Full_Report!A86,Refinance_Calculator!$C$16,Full_Report!$B$86,0,0)))</f>
        <v>25.46601034901942</v>
      </c>
      <c r="F86" s="3">
        <f>+B86-E86</f>
        <v>14974.533989650981</v>
      </c>
      <c r="G86" s="5">
        <f>+E86</f>
        <v>25.46601034901942</v>
      </c>
      <c r="H86" s="5">
        <f>+D86</f>
        <v>100</v>
      </c>
      <c r="J86" s="12" t="s">
        <v>36</v>
      </c>
      <c r="K86" t="s">
        <v>41</v>
      </c>
      <c r="L86" t="s">
        <v>42</v>
      </c>
      <c r="M86" t="s">
        <v>40</v>
      </c>
      <c r="O86" s="13">
        <v>1</v>
      </c>
      <c r="P86">
        <v>200.00000000000006</v>
      </c>
      <c r="Q86">
        <v>464.28619625702385</v>
      </c>
    </row>
    <row r="87" spans="1:17" ht="14.4" x14ac:dyDescent="0.3">
      <c r="A87" s="1">
        <f>IF(OR(A86="",F86=0,A86=Refinance_Calculator!$C$16),"",A86+1)</f>
        <v>2</v>
      </c>
      <c r="B87" s="3">
        <f>IF(A87="","",(F86))</f>
        <v>14974.533989650981</v>
      </c>
      <c r="C87" s="3">
        <f>IF(A87="","",(-PMT(Refinance_Calculator!$C$13/12,Refinance_Calculator!$C$16,Full_Report!$B$86,0,0)))</f>
        <v>125.46601034901943</v>
      </c>
      <c r="D87" s="3">
        <f t="shared" ref="D87:D97" si="0">+IF(A87="","",(C87-E87))</f>
        <v>99.830226597673203</v>
      </c>
      <c r="E87" s="3">
        <f>IF(A87="","",(-PPMT(Refinance_Calculator!$C$13/12,Full_Report!A87,Refinance_Calculator!$C$16,Full_Report!$B$86,0,0)))</f>
        <v>25.635783751346217</v>
      </c>
      <c r="F87" s="3">
        <f>IF(A87="","",(B87-E87))</f>
        <v>14948.898205899635</v>
      </c>
      <c r="G87" s="5">
        <f>+IF(A87="","",(E87+G86))</f>
        <v>51.101794100365638</v>
      </c>
      <c r="H87" s="5">
        <f>+IF(B87="","",(D87+H86))</f>
        <v>199.8302265976732</v>
      </c>
      <c r="J87" s="13">
        <v>1</v>
      </c>
      <c r="K87">
        <v>464.28619625702385</v>
      </c>
      <c r="L87">
        <v>200.00000000000006</v>
      </c>
      <c r="M87">
        <v>19535.713803742976</v>
      </c>
      <c r="O87" s="13">
        <v>2</v>
      </c>
      <c r="P87">
        <v>195.35713803742988</v>
      </c>
      <c r="Q87">
        <v>468.92905821959403</v>
      </c>
    </row>
    <row r="88" spans="1:17" ht="14.4" x14ac:dyDescent="0.3">
      <c r="A88" s="1">
        <f>IF(OR(A87="",F87=0,A87=Refinance_Calculator!$C$16),"",A87+1)</f>
        <v>3</v>
      </c>
      <c r="B88" s="3">
        <f t="shared" ref="B88:B97" si="1">IF(A88="","",(F87))</f>
        <v>14948.898205899635</v>
      </c>
      <c r="C88" s="3">
        <f>IF(A88="","",(-PMT(Refinance_Calculator!$C$13/12,Refinance_Calculator!$C$16,Full_Report!$B$86,0,0)))</f>
        <v>125.46601034901943</v>
      </c>
      <c r="D88" s="3">
        <f t="shared" si="0"/>
        <v>99.659321372664238</v>
      </c>
      <c r="E88" s="3">
        <f>IF(A88="","",(-PPMT(Refinance_Calculator!$C$13/12,Full_Report!A88,Refinance_Calculator!$C$16,Full_Report!$B$86,0,0)))</f>
        <v>25.806688976355193</v>
      </c>
      <c r="F88" s="3">
        <f t="shared" ref="F88:F97" si="2">IF(A88="","",(B88-E88))</f>
        <v>14923.091516923279</v>
      </c>
      <c r="G88" s="5">
        <f t="shared" ref="G88:G151" si="3">+IF(A88="","",(E88+G87))</f>
        <v>76.908483076720827</v>
      </c>
      <c r="H88" s="5">
        <f t="shared" ref="H88:H151" si="4">+IF(B88="","",(D88+H87))</f>
        <v>299.48954797033741</v>
      </c>
      <c r="J88" s="13">
        <v>2</v>
      </c>
      <c r="K88">
        <v>933.21525447661793</v>
      </c>
      <c r="L88">
        <v>395.35713803742993</v>
      </c>
      <c r="M88">
        <v>19066.784745523382</v>
      </c>
      <c r="O88" s="13">
        <v>3</v>
      </c>
      <c r="P88">
        <v>190.66784745523393</v>
      </c>
      <c r="Q88">
        <v>473.61834880178998</v>
      </c>
    </row>
    <row r="89" spans="1:17" ht="14.4" x14ac:dyDescent="0.3">
      <c r="A89" s="1">
        <f>IF(OR(A88="",F88=0,A88=Refinance_Calculator!$C$16),"",A88+1)</f>
        <v>4</v>
      </c>
      <c r="B89" s="3">
        <f t="shared" si="1"/>
        <v>14923.091516923279</v>
      </c>
      <c r="C89" s="3">
        <f>IF(A89="","",(-PMT(Refinance_Calculator!$C$13/12,Refinance_Calculator!$C$16,Full_Report!$B$86,0,0)))</f>
        <v>125.46601034901943</v>
      </c>
      <c r="D89" s="3">
        <f t="shared" si="0"/>
        <v>99.487276779488525</v>
      </c>
      <c r="E89" s="3">
        <f>IF(A89="","",(-PPMT(Refinance_Calculator!$C$13/12,Full_Report!A89,Refinance_Calculator!$C$16,Full_Report!$B$86,0,0)))</f>
        <v>25.978733569530899</v>
      </c>
      <c r="F89" s="3">
        <f t="shared" si="2"/>
        <v>14897.112783353748</v>
      </c>
      <c r="G89" s="5">
        <f t="shared" si="3"/>
        <v>102.88721664625173</v>
      </c>
      <c r="H89" s="5">
        <f t="shared" si="4"/>
        <v>398.97682474982594</v>
      </c>
      <c r="J89" s="13">
        <v>3</v>
      </c>
      <c r="K89">
        <v>1406.833603278408</v>
      </c>
      <c r="L89">
        <v>586.02498549266386</v>
      </c>
      <c r="M89">
        <v>18593.166396721594</v>
      </c>
      <c r="O89" s="13">
        <v>4</v>
      </c>
      <c r="P89">
        <v>185.93166396721597</v>
      </c>
      <c r="Q89">
        <v>478.35453228980793</v>
      </c>
    </row>
    <row r="90" spans="1:17" ht="14.4" x14ac:dyDescent="0.3">
      <c r="A90" s="1">
        <f>IF(OR(A89="",F89=0,A89=Refinance_Calculator!$C$16),"",A89+1)</f>
        <v>5</v>
      </c>
      <c r="B90" s="3">
        <f t="shared" si="1"/>
        <v>14897.112783353748</v>
      </c>
      <c r="C90" s="3">
        <f>IF(A90="","",(-PMT(Refinance_Calculator!$C$13/12,Refinance_Calculator!$C$16,Full_Report!$B$86,0,0)))</f>
        <v>125.46601034901943</v>
      </c>
      <c r="D90" s="3">
        <f t="shared" si="0"/>
        <v>99.314085222358329</v>
      </c>
      <c r="E90" s="3">
        <f>IF(A90="","",(-PPMT(Refinance_Calculator!$C$13/12,Full_Report!A90,Refinance_Calculator!$C$16,Full_Report!$B$86,0,0)))</f>
        <v>26.151925126661101</v>
      </c>
      <c r="F90" s="3">
        <f t="shared" si="2"/>
        <v>14870.960858227087</v>
      </c>
      <c r="G90" s="5">
        <f t="shared" si="3"/>
        <v>129.03914177291284</v>
      </c>
      <c r="H90" s="5">
        <f t="shared" si="4"/>
        <v>498.29090997218429</v>
      </c>
      <c r="J90" s="13">
        <v>4</v>
      </c>
      <c r="K90">
        <v>1885.1881355682158</v>
      </c>
      <c r="L90">
        <v>771.95664945987983</v>
      </c>
      <c r="M90">
        <v>18114.811864431787</v>
      </c>
      <c r="O90" s="13">
        <v>5</v>
      </c>
      <c r="P90">
        <v>181.14811864431795</v>
      </c>
      <c r="Q90">
        <v>483.13807761270596</v>
      </c>
    </row>
    <row r="91" spans="1:17" ht="14.4" x14ac:dyDescent="0.3">
      <c r="A91" s="1">
        <f>IF(OR(A90="",F90=0,A90=Refinance_Calculator!$C$16),"",A90+1)</f>
        <v>6</v>
      </c>
      <c r="B91" s="3">
        <f t="shared" si="1"/>
        <v>14870.960858227087</v>
      </c>
      <c r="C91" s="3">
        <f>IF(A91="","",(-PMT(Refinance_Calculator!$C$13/12,Refinance_Calculator!$C$16,Full_Report!$B$86,0,0)))</f>
        <v>125.46601034901943</v>
      </c>
      <c r="D91" s="3">
        <f t="shared" si="0"/>
        <v>99.139739054847254</v>
      </c>
      <c r="E91" s="3">
        <f>IF(A91="","",(-PPMT(Refinance_Calculator!$C$13/12,Full_Report!A91,Refinance_Calculator!$C$16,Full_Report!$B$86,0,0)))</f>
        <v>26.326271294172173</v>
      </c>
      <c r="F91" s="3">
        <f t="shared" si="2"/>
        <v>14844.634586932914</v>
      </c>
      <c r="G91" s="5">
        <f t="shared" si="3"/>
        <v>155.365413067085</v>
      </c>
      <c r="H91" s="5">
        <f t="shared" si="4"/>
        <v>597.43064902703156</v>
      </c>
      <c r="J91" s="13">
        <v>5</v>
      </c>
      <c r="K91">
        <v>2368.3262131809215</v>
      </c>
      <c r="L91">
        <v>953.10476810419777</v>
      </c>
      <c r="M91">
        <v>17631.673786819083</v>
      </c>
      <c r="O91" s="13">
        <v>6</v>
      </c>
      <c r="P91">
        <v>176.3167378681909</v>
      </c>
      <c r="Q91">
        <v>487.969458388833</v>
      </c>
    </row>
    <row r="92" spans="1:17" ht="14.4" x14ac:dyDescent="0.3">
      <c r="A92" s="1">
        <f>IF(OR(A91="",F91=0,A91=Refinance_Calculator!$C$16),"",A91+1)</f>
        <v>7</v>
      </c>
      <c r="B92" s="3">
        <f t="shared" si="1"/>
        <v>14844.634586932914</v>
      </c>
      <c r="C92" s="3">
        <f>IF(A92="","",(-PMT(Refinance_Calculator!$C$13/12,Refinance_Calculator!$C$16,Full_Report!$B$86,0,0)))</f>
        <v>125.46601034901943</v>
      </c>
      <c r="D92" s="3">
        <f t="shared" si="0"/>
        <v>98.964230579552776</v>
      </c>
      <c r="E92" s="3">
        <f>IF(A92="","",(-PPMT(Refinance_Calculator!$C$13/12,Full_Report!A92,Refinance_Calculator!$C$16,Full_Report!$B$86,0,0)))</f>
        <v>26.501779769466651</v>
      </c>
      <c r="F92" s="3">
        <f t="shared" si="2"/>
        <v>14818.132807163447</v>
      </c>
      <c r="G92" s="5">
        <f t="shared" si="3"/>
        <v>181.86719283655165</v>
      </c>
      <c r="H92" s="5">
        <f t="shared" si="4"/>
        <v>696.39487960658437</v>
      </c>
      <c r="J92" s="13">
        <v>6</v>
      </c>
      <c r="K92">
        <v>2856.2956715697546</v>
      </c>
      <c r="L92">
        <v>1129.4215059723888</v>
      </c>
      <c r="M92">
        <v>17143.704328430249</v>
      </c>
      <c r="O92" s="13">
        <v>7</v>
      </c>
      <c r="P92">
        <v>171.43704328430249</v>
      </c>
      <c r="Q92">
        <v>492.84915297272141</v>
      </c>
    </row>
    <row r="93" spans="1:17" ht="14.4" x14ac:dyDescent="0.3">
      <c r="A93" s="1">
        <f>IF(OR(A92="",F92=0,A92=Refinance_Calculator!$C$16),"",A92+1)</f>
        <v>8</v>
      </c>
      <c r="B93" s="3">
        <f t="shared" si="1"/>
        <v>14818.132807163447</v>
      </c>
      <c r="C93" s="3">
        <f>IF(A93="","",(-PMT(Refinance_Calculator!$C$13/12,Refinance_Calculator!$C$16,Full_Report!$B$86,0,0)))</f>
        <v>125.46601034901943</v>
      </c>
      <c r="D93" s="3">
        <f t="shared" si="0"/>
        <v>98.787552047756321</v>
      </c>
      <c r="E93" s="3">
        <f>IF(A93="","",(-PPMT(Refinance_Calculator!$C$13/12,Full_Report!A93,Refinance_Calculator!$C$16,Full_Report!$B$86,0,0)))</f>
        <v>26.678458301263102</v>
      </c>
      <c r="F93" s="3">
        <f t="shared" si="2"/>
        <v>14791.454348862184</v>
      </c>
      <c r="G93" s="5">
        <f t="shared" si="3"/>
        <v>208.54565113781476</v>
      </c>
      <c r="H93" s="5">
        <f t="shared" si="4"/>
        <v>795.18243165434069</v>
      </c>
      <c r="J93" s="13">
        <v>7</v>
      </c>
      <c r="K93">
        <v>3349.1448245424763</v>
      </c>
      <c r="L93">
        <v>1300.8585492566913</v>
      </c>
      <c r="M93">
        <v>16650.855175457527</v>
      </c>
      <c r="O93" s="13">
        <v>8</v>
      </c>
      <c r="P93">
        <v>166.50855175457531</v>
      </c>
      <c r="Q93">
        <v>497.7776445024486</v>
      </c>
    </row>
    <row r="94" spans="1:17" ht="14.4" x14ac:dyDescent="0.3">
      <c r="A94" s="1">
        <f>IF(OR(A93="",F93=0,A93=Refinance_Calculator!$C$16),"",A93+1)</f>
        <v>9</v>
      </c>
      <c r="B94" s="3">
        <f t="shared" si="1"/>
        <v>14791.454348862184</v>
      </c>
      <c r="C94" s="3">
        <f>IF(A94="","",(-PMT(Refinance_Calculator!$C$13/12,Refinance_Calculator!$C$16,Full_Report!$B$86,0,0)))</f>
        <v>125.46601034901943</v>
      </c>
      <c r="D94" s="3">
        <f t="shared" si="0"/>
        <v>98.60969565908124</v>
      </c>
      <c r="E94" s="3">
        <f>IF(A94="","",(-PPMT(Refinance_Calculator!$C$13/12,Full_Report!A94,Refinance_Calculator!$C$16,Full_Report!$B$86,0,0)))</f>
        <v>26.856314689938188</v>
      </c>
      <c r="F94" s="3">
        <f t="shared" si="2"/>
        <v>14764.598034172246</v>
      </c>
      <c r="G94" s="5">
        <f t="shared" si="3"/>
        <v>235.40196582775295</v>
      </c>
      <c r="H94" s="5">
        <f t="shared" si="4"/>
        <v>893.79212731342193</v>
      </c>
      <c r="J94" s="13">
        <v>8</v>
      </c>
      <c r="K94">
        <v>3846.922469044925</v>
      </c>
      <c r="L94">
        <v>1467.3671010112666</v>
      </c>
      <c r="M94">
        <v>16153.077530955079</v>
      </c>
      <c r="O94" s="13">
        <v>9</v>
      </c>
      <c r="P94">
        <v>161.53077530955085</v>
      </c>
      <c r="Q94">
        <v>502.75542094747306</v>
      </c>
    </row>
    <row r="95" spans="1:17" ht="14.4" x14ac:dyDescent="0.3">
      <c r="A95" s="1">
        <f>IF(OR(A94="",F94=0,A94=Refinance_Calculator!$C$16),"",A94+1)</f>
        <v>10</v>
      </c>
      <c r="B95" s="3">
        <f t="shared" si="1"/>
        <v>14764.598034172246</v>
      </c>
      <c r="C95" s="3">
        <f>IF(A95="","",(-PMT(Refinance_Calculator!$C$13/12,Refinance_Calculator!$C$16,Full_Report!$B$86,0,0)))</f>
        <v>125.46601034901943</v>
      </c>
      <c r="D95" s="3">
        <f t="shared" si="0"/>
        <v>98.430653561148318</v>
      </c>
      <c r="E95" s="3">
        <f>IF(A95="","",(-PPMT(Refinance_Calculator!$C$13/12,Full_Report!A95,Refinance_Calculator!$C$16,Full_Report!$B$86,0,0)))</f>
        <v>27.035356787871109</v>
      </c>
      <c r="F95" s="3">
        <f t="shared" si="2"/>
        <v>14737.562677384374</v>
      </c>
      <c r="G95" s="5">
        <f t="shared" si="3"/>
        <v>262.43732261562405</v>
      </c>
      <c r="H95" s="5">
        <f t="shared" si="4"/>
        <v>992.22278087457028</v>
      </c>
      <c r="J95" s="13">
        <v>9</v>
      </c>
      <c r="K95">
        <v>4349.6778899923984</v>
      </c>
      <c r="L95">
        <v>1628.8978763208174</v>
      </c>
      <c r="M95">
        <v>15650.322110007606</v>
      </c>
      <c r="O95" s="13">
        <v>10</v>
      </c>
      <c r="P95">
        <v>156.50322110007602</v>
      </c>
      <c r="Q95">
        <v>507.78297515694788</v>
      </c>
    </row>
    <row r="96" spans="1:17" ht="14.4" x14ac:dyDescent="0.3">
      <c r="A96" s="1">
        <f>IF(OR(A95="",F95=0,A95=Refinance_Calculator!$C$16),"",A95+1)</f>
        <v>11</v>
      </c>
      <c r="B96" s="3">
        <f t="shared" si="1"/>
        <v>14737.562677384374</v>
      </c>
      <c r="C96" s="3">
        <f>IF(A96="","",(-PMT(Refinance_Calculator!$C$13/12,Refinance_Calculator!$C$16,Full_Report!$B$86,0,0)))</f>
        <v>125.46601034901943</v>
      </c>
      <c r="D96" s="3">
        <f t="shared" si="0"/>
        <v>98.25041784922918</v>
      </c>
      <c r="E96" s="3">
        <f>IF(A96="","",(-PPMT(Refinance_Calculator!$C$13/12,Full_Report!A96,Refinance_Calculator!$C$16,Full_Report!$B$86,0,0)))</f>
        <v>27.215592499790251</v>
      </c>
      <c r="F96" s="3">
        <f t="shared" si="2"/>
        <v>14710.347084884585</v>
      </c>
      <c r="G96" s="5">
        <f t="shared" si="3"/>
        <v>289.65291511541432</v>
      </c>
      <c r="H96" s="5">
        <f t="shared" si="4"/>
        <v>1090.4731987237994</v>
      </c>
      <c r="J96" s="13">
        <v>10</v>
      </c>
      <c r="K96">
        <v>4857.4608651493463</v>
      </c>
      <c r="L96">
        <v>1785.4010974208934</v>
      </c>
      <c r="M96">
        <v>15142.539134850658</v>
      </c>
      <c r="O96" s="13">
        <v>11</v>
      </c>
      <c r="P96">
        <v>151.42539134850665</v>
      </c>
      <c r="Q96">
        <v>512.86080490851725</v>
      </c>
    </row>
    <row r="97" spans="1:17" ht="14.4" x14ac:dyDescent="0.3">
      <c r="A97" s="1">
        <f>IF(OR(A96="",F96=0,A96=Refinance_Calculator!$C$16),"",A96+1)</f>
        <v>12</v>
      </c>
      <c r="B97" s="3">
        <f t="shared" si="1"/>
        <v>14710.347084884585</v>
      </c>
      <c r="C97" s="3">
        <f>IF(A97="","",(-PMT(Refinance_Calculator!$C$13/12,Refinance_Calculator!$C$16,Full_Report!$B$86,0,0)))</f>
        <v>125.46601034901943</v>
      </c>
      <c r="D97" s="3">
        <f t="shared" si="0"/>
        <v>98.068980565897249</v>
      </c>
      <c r="E97" s="3">
        <f>IF(A97="","",(-PPMT(Refinance_Calculator!$C$13/12,Full_Report!A97,Refinance_Calculator!$C$16,Full_Report!$B$86,0,0)))</f>
        <v>27.397029783122182</v>
      </c>
      <c r="F97" s="3">
        <f t="shared" si="2"/>
        <v>14682.950055101463</v>
      </c>
      <c r="G97" s="5">
        <f t="shared" si="3"/>
        <v>317.04994489853652</v>
      </c>
      <c r="H97" s="5">
        <f t="shared" si="4"/>
        <v>1188.5421792896966</v>
      </c>
      <c r="J97" s="13">
        <v>11</v>
      </c>
      <c r="K97">
        <v>5370.3216700578632</v>
      </c>
      <c r="L97">
        <v>1936.8264887693999</v>
      </c>
      <c r="M97">
        <v>14629.67832994214</v>
      </c>
      <c r="O97" s="13">
        <v>12</v>
      </c>
      <c r="P97">
        <v>146.29678329942146</v>
      </c>
      <c r="Q97">
        <v>517.98941295760244</v>
      </c>
    </row>
    <row r="98" spans="1:17" ht="14.4" x14ac:dyDescent="0.3">
      <c r="A98" s="1">
        <f>IF(OR(A97="",F97=0,A97=Refinance_Calculator!$C$16),"",A97+1)</f>
        <v>13</v>
      </c>
      <c r="B98" s="3">
        <f t="shared" ref="B98:B161" si="5">IF(A98="","",(F97))</f>
        <v>14682.950055101463</v>
      </c>
      <c r="C98" s="3">
        <f>IF(A98="","",(-PMT(Refinance_Calculator!$C$13/12,Refinance_Calculator!$C$16,Full_Report!$B$86,0,0)))</f>
        <v>125.46601034901943</v>
      </c>
      <c r="D98" s="3">
        <f t="shared" ref="D98:D161" si="6">+IF(A98="","",(C98-E98))</f>
        <v>97.886333700676431</v>
      </c>
      <c r="E98" s="3">
        <f>IF(A98="","",(-PPMT(Refinance_Calculator!$C$13/12,Full_Report!A98,Refinance_Calculator!$C$16,Full_Report!$B$86,0,0)))</f>
        <v>27.579676648342996</v>
      </c>
      <c r="F98" s="3">
        <f t="shared" ref="F98:F161" si="7">IF(A98="","",(B98-E98))</f>
        <v>14655.370378453119</v>
      </c>
      <c r="G98" s="5">
        <f t="shared" si="3"/>
        <v>344.62962154687955</v>
      </c>
      <c r="H98" s="5">
        <f t="shared" si="4"/>
        <v>1286.4285129903731</v>
      </c>
      <c r="J98" s="13">
        <v>12</v>
      </c>
      <c r="K98">
        <v>5888.3110830154656</v>
      </c>
      <c r="L98">
        <v>2083.1232720688213</v>
      </c>
      <c r="M98">
        <v>14111.688916984538</v>
      </c>
      <c r="O98" s="13">
        <v>13</v>
      </c>
      <c r="P98">
        <v>141.11688916984542</v>
      </c>
      <c r="Q98">
        <v>523.16930708717848</v>
      </c>
    </row>
    <row r="99" spans="1:17" ht="14.4" x14ac:dyDescent="0.3">
      <c r="A99" s="1">
        <f>IF(OR(A98="",F98=0,A98=Refinance_Calculator!$C$16),"",A98+1)</f>
        <v>14</v>
      </c>
      <c r="B99" s="3">
        <f t="shared" si="5"/>
        <v>14655.370378453119</v>
      </c>
      <c r="C99" s="3">
        <f>IF(A99="","",(-PMT(Refinance_Calculator!$C$13/12,Refinance_Calculator!$C$16,Full_Report!$B$86,0,0)))</f>
        <v>125.46601034901943</v>
      </c>
      <c r="D99" s="3">
        <f t="shared" si="6"/>
        <v>97.702469189687463</v>
      </c>
      <c r="E99" s="3">
        <f>IF(A99="","",(-PPMT(Refinance_Calculator!$C$13/12,Full_Report!A99,Refinance_Calculator!$C$16,Full_Report!$B$86,0,0)))</f>
        <v>27.763541159331957</v>
      </c>
      <c r="F99" s="3">
        <f t="shared" si="7"/>
        <v>14627.606837293786</v>
      </c>
      <c r="G99" s="5">
        <f t="shared" si="3"/>
        <v>372.39316270621151</v>
      </c>
      <c r="H99" s="5">
        <f t="shared" si="4"/>
        <v>1384.1309821800605</v>
      </c>
      <c r="J99" s="13">
        <v>13</v>
      </c>
      <c r="K99">
        <v>6411.4803901026444</v>
      </c>
      <c r="L99">
        <v>2224.2401612386666</v>
      </c>
      <c r="M99">
        <v>13588.519609897359</v>
      </c>
      <c r="O99" s="13">
        <v>14</v>
      </c>
      <c r="P99">
        <v>135.88519609897367</v>
      </c>
      <c r="Q99">
        <v>528.40100015805024</v>
      </c>
    </row>
    <row r="100" spans="1:17" ht="14.4" x14ac:dyDescent="0.3">
      <c r="A100" s="1">
        <f>IF(OR(A99="",F99=0,A99=Refinance_Calculator!$C$16),"",A99+1)</f>
        <v>15</v>
      </c>
      <c r="B100" s="3">
        <f t="shared" si="5"/>
        <v>14627.606837293786</v>
      </c>
      <c r="C100" s="3">
        <f>IF(A100="","",(-PMT(Refinance_Calculator!$C$13/12,Refinance_Calculator!$C$16,Full_Report!$B$86,0,0)))</f>
        <v>125.46601034901943</v>
      </c>
      <c r="D100" s="3">
        <f t="shared" si="6"/>
        <v>97.517378915291928</v>
      </c>
      <c r="E100" s="3">
        <f>IF(A100="","",(-PPMT(Refinance_Calculator!$C$13/12,Full_Report!A100,Refinance_Calculator!$C$16,Full_Report!$B$86,0,0)))</f>
        <v>27.948631433727503</v>
      </c>
      <c r="F100" s="3">
        <f t="shared" si="7"/>
        <v>14599.658205860058</v>
      </c>
      <c r="G100" s="5">
        <f t="shared" si="3"/>
        <v>400.341794139939</v>
      </c>
      <c r="H100" s="5">
        <f t="shared" si="4"/>
        <v>1481.6483610953524</v>
      </c>
      <c r="J100" s="13">
        <v>14</v>
      </c>
      <c r="K100">
        <v>6939.8813902606944</v>
      </c>
      <c r="L100">
        <v>2360.1253573376403</v>
      </c>
      <c r="M100">
        <v>13060.118609739309</v>
      </c>
      <c r="O100" s="13">
        <v>15</v>
      </c>
      <c r="P100">
        <v>130.60118609739311</v>
      </c>
      <c r="Q100">
        <v>533.68501015963079</v>
      </c>
    </row>
    <row r="101" spans="1:17" ht="14.4" x14ac:dyDescent="0.3">
      <c r="A101" s="1">
        <f>IF(OR(A100="",F100=0,A100=Refinance_Calculator!$C$16),"",A100+1)</f>
        <v>16</v>
      </c>
      <c r="B101" s="3">
        <f t="shared" si="5"/>
        <v>14599.658205860058</v>
      </c>
      <c r="C101" s="3">
        <f>IF(A101="","",(-PMT(Refinance_Calculator!$C$13/12,Refinance_Calculator!$C$16,Full_Report!$B$86,0,0)))</f>
        <v>125.46601034901943</v>
      </c>
      <c r="D101" s="3">
        <f t="shared" si="6"/>
        <v>97.331054705733749</v>
      </c>
      <c r="E101" s="3">
        <f>IF(A101="","",(-PPMT(Refinance_Calculator!$C$13/12,Full_Report!A101,Refinance_Calculator!$C$16,Full_Report!$B$86,0,0)))</f>
        <v>28.134955643285686</v>
      </c>
      <c r="F101" s="3">
        <f t="shared" si="7"/>
        <v>14571.523250216773</v>
      </c>
      <c r="G101" s="5">
        <f t="shared" si="3"/>
        <v>428.4767497832247</v>
      </c>
      <c r="H101" s="5">
        <f t="shared" si="4"/>
        <v>1578.9794158010861</v>
      </c>
      <c r="J101" s="13">
        <v>15</v>
      </c>
      <c r="K101">
        <v>7473.5664004203254</v>
      </c>
      <c r="L101">
        <v>2490.7265434350334</v>
      </c>
      <c r="M101">
        <v>12526.433599579679</v>
      </c>
      <c r="O101" s="13">
        <v>16</v>
      </c>
      <c r="P101">
        <v>125.26433599579684</v>
      </c>
      <c r="Q101">
        <v>539.02186026122706</v>
      </c>
    </row>
    <row r="102" spans="1:17" ht="14.4" x14ac:dyDescent="0.3">
      <c r="A102" s="1">
        <f>IF(OR(A101="",F101=0,A101=Refinance_Calculator!$C$16),"",A101+1)</f>
        <v>17</v>
      </c>
      <c r="B102" s="3">
        <f t="shared" si="5"/>
        <v>14571.523250216773</v>
      </c>
      <c r="C102" s="3">
        <f>IF(A102="","",(-PMT(Refinance_Calculator!$C$13/12,Refinance_Calculator!$C$16,Full_Report!$B$86,0,0)))</f>
        <v>125.46601034901943</v>
      </c>
      <c r="D102" s="3">
        <f t="shared" si="6"/>
        <v>97.14348833477851</v>
      </c>
      <c r="E102" s="3">
        <f>IF(A102="","",(-PPMT(Refinance_Calculator!$C$13/12,Full_Report!A102,Refinance_Calculator!$C$16,Full_Report!$B$86,0,0)))</f>
        <v>28.322522014240921</v>
      </c>
      <c r="F102" s="3">
        <f t="shared" si="7"/>
        <v>14543.200728202532</v>
      </c>
      <c r="G102" s="5">
        <f t="shared" si="3"/>
        <v>456.79927179746562</v>
      </c>
      <c r="H102" s="5">
        <f t="shared" si="4"/>
        <v>1676.1229041358647</v>
      </c>
      <c r="J102" s="13">
        <v>16</v>
      </c>
      <c r="K102">
        <v>8012.5882606815521</v>
      </c>
      <c r="L102">
        <v>2615.9908794308303</v>
      </c>
      <c r="M102">
        <v>11987.411739318452</v>
      </c>
      <c r="O102" s="13">
        <v>17</v>
      </c>
      <c r="P102">
        <v>119.87411739318452</v>
      </c>
      <c r="Q102">
        <v>544.41207886383938</v>
      </c>
    </row>
    <row r="103" spans="1:17" ht="14.4" x14ac:dyDescent="0.3">
      <c r="A103" s="1">
        <f>IF(OR(A102="",F102=0,A102=Refinance_Calculator!$C$16),"",A102+1)</f>
        <v>18</v>
      </c>
      <c r="B103" s="3">
        <f t="shared" si="5"/>
        <v>14543.200728202532</v>
      </c>
      <c r="C103" s="3">
        <f>IF(A103="","",(-PMT(Refinance_Calculator!$C$13/12,Refinance_Calculator!$C$16,Full_Report!$B$86,0,0)))</f>
        <v>125.46601034901943</v>
      </c>
      <c r="D103" s="3">
        <f t="shared" si="6"/>
        <v>96.954671521350235</v>
      </c>
      <c r="E103" s="3">
        <f>IF(A103="","",(-PPMT(Refinance_Calculator!$C$13/12,Full_Report!A103,Refinance_Calculator!$C$16,Full_Report!$B$86,0,0)))</f>
        <v>28.511338827669196</v>
      </c>
      <c r="F103" s="3">
        <f t="shared" si="7"/>
        <v>14514.689389374862</v>
      </c>
      <c r="G103" s="5">
        <f t="shared" si="3"/>
        <v>485.31061062513481</v>
      </c>
      <c r="H103" s="5">
        <f t="shared" si="4"/>
        <v>1773.077575657215</v>
      </c>
      <c r="J103" s="13">
        <v>17</v>
      </c>
      <c r="K103">
        <v>8557.0003395453914</v>
      </c>
      <c r="L103">
        <v>2735.8649968240147</v>
      </c>
      <c r="M103">
        <v>11442.999660454612</v>
      </c>
      <c r="O103" s="13">
        <v>18</v>
      </c>
      <c r="P103">
        <v>114.4299966045462</v>
      </c>
      <c r="Q103">
        <v>549.8561996524777</v>
      </c>
    </row>
    <row r="104" spans="1:17" ht="14.4" x14ac:dyDescent="0.3">
      <c r="A104" s="1">
        <f>IF(OR(A103="",F103=0,A103=Refinance_Calculator!$C$16),"",A103+1)</f>
        <v>19</v>
      </c>
      <c r="B104" s="3">
        <f t="shared" si="5"/>
        <v>14514.689389374862</v>
      </c>
      <c r="C104" s="3">
        <f>IF(A104="","",(-PMT(Refinance_Calculator!$C$13/12,Refinance_Calculator!$C$16,Full_Report!$B$86,0,0)))</f>
        <v>125.46601034901943</v>
      </c>
      <c r="D104" s="3">
        <f t="shared" si="6"/>
        <v>96.764595929165779</v>
      </c>
      <c r="E104" s="3">
        <f>IF(A104="","",(-PPMT(Refinance_Calculator!$C$13/12,Full_Report!A104,Refinance_Calculator!$C$16,Full_Report!$B$86,0,0)))</f>
        <v>28.701414419853652</v>
      </c>
      <c r="F104" s="3">
        <f t="shared" si="7"/>
        <v>14485.987974955009</v>
      </c>
      <c r="G104" s="5">
        <f t="shared" si="3"/>
        <v>514.01202504498849</v>
      </c>
      <c r="H104" s="5">
        <f t="shared" si="4"/>
        <v>1869.8421715863808</v>
      </c>
      <c r="J104" s="13">
        <v>18</v>
      </c>
      <c r="K104">
        <v>9106.85653919787</v>
      </c>
      <c r="L104">
        <v>2850.2949934285607</v>
      </c>
      <c r="M104">
        <v>10893.143460802134</v>
      </c>
      <c r="O104" s="13">
        <v>19</v>
      </c>
      <c r="P104">
        <v>108.93143460802139</v>
      </c>
      <c r="Q104">
        <v>555.35476164900251</v>
      </c>
    </row>
    <row r="105" spans="1:17" ht="14.4" x14ac:dyDescent="0.3">
      <c r="A105" s="1">
        <f>IF(OR(A104="",F104=0,A104=Refinance_Calculator!$C$16),"",A104+1)</f>
        <v>20</v>
      </c>
      <c r="B105" s="3">
        <f t="shared" si="5"/>
        <v>14485.987974955009</v>
      </c>
      <c r="C105" s="3">
        <f>IF(A105="","",(-PMT(Refinance_Calculator!$C$13/12,Refinance_Calculator!$C$16,Full_Report!$B$86,0,0)))</f>
        <v>125.46601034901943</v>
      </c>
      <c r="D105" s="3">
        <f t="shared" si="6"/>
        <v>96.573253166366754</v>
      </c>
      <c r="E105" s="3">
        <f>IF(A105="","",(-PPMT(Refinance_Calculator!$C$13/12,Full_Report!A105,Refinance_Calculator!$C$16,Full_Report!$B$86,0,0)))</f>
        <v>28.892757182652677</v>
      </c>
      <c r="F105" s="3">
        <f t="shared" si="7"/>
        <v>14457.095217772356</v>
      </c>
      <c r="G105" s="5">
        <f t="shared" si="3"/>
        <v>542.90478222764114</v>
      </c>
      <c r="H105" s="5">
        <f t="shared" si="4"/>
        <v>1966.4154247527476</v>
      </c>
      <c r="J105" s="13">
        <v>19</v>
      </c>
      <c r="K105">
        <v>9662.2113008468732</v>
      </c>
      <c r="L105">
        <v>2959.2264280365821</v>
      </c>
      <c r="M105">
        <v>10337.78869915313</v>
      </c>
      <c r="O105" s="13">
        <v>20</v>
      </c>
      <c r="P105">
        <v>103.37788699153134</v>
      </c>
      <c r="Q105">
        <v>560.90830926549256</v>
      </c>
    </row>
    <row r="106" spans="1:17" ht="14.4" x14ac:dyDescent="0.3">
      <c r="A106" s="1">
        <f>IF(OR(A105="",F105=0,A105=Refinance_Calculator!$C$16),"",A105+1)</f>
        <v>21</v>
      </c>
      <c r="B106" s="3">
        <f t="shared" si="5"/>
        <v>14457.095217772356</v>
      </c>
      <c r="C106" s="3">
        <f>IF(A106="","",(-PMT(Refinance_Calculator!$C$13/12,Refinance_Calculator!$C$16,Full_Report!$B$86,0,0)))</f>
        <v>125.46601034901943</v>
      </c>
      <c r="D106" s="3">
        <f t="shared" si="6"/>
        <v>96.380634785149056</v>
      </c>
      <c r="E106" s="3">
        <f>IF(A106="","",(-PPMT(Refinance_Calculator!$C$13/12,Full_Report!A106,Refinance_Calculator!$C$16,Full_Report!$B$86,0,0)))</f>
        <v>29.085375563870368</v>
      </c>
      <c r="F106" s="3">
        <f t="shared" si="7"/>
        <v>14428.009842208485</v>
      </c>
      <c r="G106" s="5">
        <f t="shared" si="3"/>
        <v>571.99015779151148</v>
      </c>
      <c r="H106" s="5">
        <f t="shared" si="4"/>
        <v>2062.7960595378968</v>
      </c>
      <c r="J106" s="13">
        <v>20</v>
      </c>
      <c r="K106">
        <v>10223.119610112366</v>
      </c>
      <c r="L106">
        <v>3062.6043150281134</v>
      </c>
      <c r="M106">
        <v>9776.8803898876376</v>
      </c>
      <c r="O106" s="13">
        <v>21</v>
      </c>
      <c r="P106">
        <v>97.768803898876399</v>
      </c>
      <c r="Q106">
        <v>566.5173923581475</v>
      </c>
    </row>
    <row r="107" spans="1:17" ht="14.4" x14ac:dyDescent="0.3">
      <c r="A107" s="1">
        <f>IF(OR(A106="",F106=0,A106=Refinance_Calculator!$C$16),"",A106+1)</f>
        <v>22</v>
      </c>
      <c r="B107" s="3">
        <f t="shared" si="5"/>
        <v>14428.009842208485</v>
      </c>
      <c r="C107" s="3">
        <f>IF(A107="","",(-PMT(Refinance_Calculator!$C$13/12,Refinance_Calculator!$C$16,Full_Report!$B$86,0,0)))</f>
        <v>125.46601034901943</v>
      </c>
      <c r="D107" s="3">
        <f t="shared" si="6"/>
        <v>96.186732281389922</v>
      </c>
      <c r="E107" s="3">
        <f>IF(A107="","",(-PPMT(Refinance_Calculator!$C$13/12,Full_Report!A107,Refinance_Calculator!$C$16,Full_Report!$B$86,0,0)))</f>
        <v>29.279278067629502</v>
      </c>
      <c r="F107" s="3">
        <f t="shared" si="7"/>
        <v>14398.730564140855</v>
      </c>
      <c r="G107" s="5">
        <f t="shared" si="3"/>
        <v>601.26943585914103</v>
      </c>
      <c r="H107" s="5">
        <f t="shared" si="4"/>
        <v>2158.9827918192868</v>
      </c>
      <c r="J107" s="13">
        <v>21</v>
      </c>
      <c r="K107">
        <v>10789.637002470514</v>
      </c>
      <c r="L107">
        <v>3160.3731189269897</v>
      </c>
      <c r="M107">
        <v>9210.3629975294898</v>
      </c>
      <c r="O107" s="13">
        <v>22</v>
      </c>
      <c r="P107">
        <v>92.103629975294893</v>
      </c>
      <c r="Q107">
        <v>572.18256628172901</v>
      </c>
    </row>
    <row r="108" spans="1:17" ht="14.4" x14ac:dyDescent="0.3">
      <c r="A108" s="1">
        <f>IF(OR(A107="",F107=0,A107=Refinance_Calculator!$C$16),"",A107+1)</f>
        <v>23</v>
      </c>
      <c r="B108" s="3">
        <f t="shared" si="5"/>
        <v>14398.730564140855</v>
      </c>
      <c r="C108" s="3">
        <f>IF(A108="","",(-PMT(Refinance_Calculator!$C$13/12,Refinance_Calculator!$C$16,Full_Report!$B$86,0,0)))</f>
        <v>125.46601034901943</v>
      </c>
      <c r="D108" s="3">
        <f t="shared" si="6"/>
        <v>95.991537094272402</v>
      </c>
      <c r="E108" s="3">
        <f>IF(A108="","",(-PPMT(Refinance_Calculator!$C$13/12,Full_Report!A108,Refinance_Calculator!$C$16,Full_Report!$B$86,0,0)))</f>
        <v>29.474473254747029</v>
      </c>
      <c r="F108" s="3">
        <f t="shared" si="7"/>
        <v>14369.256090886107</v>
      </c>
      <c r="G108" s="5">
        <f t="shared" si="3"/>
        <v>630.74390911388809</v>
      </c>
      <c r="H108" s="5">
        <f t="shared" si="4"/>
        <v>2254.974328913559</v>
      </c>
      <c r="J108" s="13">
        <v>22</v>
      </c>
      <c r="K108">
        <v>11361.819568752242</v>
      </c>
      <c r="L108">
        <v>3252.4767489022847</v>
      </c>
      <c r="M108">
        <v>8638.1804312477616</v>
      </c>
      <c r="O108" s="13">
        <v>23</v>
      </c>
      <c r="P108">
        <v>86.381804312477698</v>
      </c>
      <c r="Q108">
        <v>577.90439194454621</v>
      </c>
    </row>
    <row r="109" spans="1:17" ht="14.4" x14ac:dyDescent="0.3">
      <c r="A109" s="1">
        <f>IF(OR(A108="",F108=0,A108=Refinance_Calculator!$C$16),"",A108+1)</f>
        <v>24</v>
      </c>
      <c r="B109" s="3">
        <f t="shared" si="5"/>
        <v>14369.256090886107</v>
      </c>
      <c r="C109" s="3">
        <f>IF(A109="","",(-PMT(Refinance_Calculator!$C$13/12,Refinance_Calculator!$C$16,Full_Report!$B$86,0,0)))</f>
        <v>125.46601034901943</v>
      </c>
      <c r="D109" s="3">
        <f t="shared" si="6"/>
        <v>95.795040605907417</v>
      </c>
      <c r="E109" s="3">
        <f>IF(A109="","",(-PPMT(Refinance_Calculator!$C$13/12,Full_Report!A109,Refinance_Calculator!$C$16,Full_Report!$B$86,0,0)))</f>
        <v>29.670969743112007</v>
      </c>
      <c r="F109" s="3">
        <f t="shared" si="7"/>
        <v>14339.585121142994</v>
      </c>
      <c r="G109" s="5">
        <f t="shared" si="3"/>
        <v>660.41487885700008</v>
      </c>
      <c r="H109" s="5">
        <f t="shared" si="4"/>
        <v>2350.7693695194666</v>
      </c>
      <c r="J109" s="13">
        <v>23</v>
      </c>
      <c r="K109">
        <v>11939.723960696789</v>
      </c>
      <c r="L109">
        <v>3338.8585532147627</v>
      </c>
      <c r="M109">
        <v>8060.2760393032149</v>
      </c>
      <c r="O109" s="13">
        <v>24</v>
      </c>
      <c r="P109">
        <v>80.602760393032099</v>
      </c>
      <c r="Q109">
        <v>583.6834358639918</v>
      </c>
    </row>
    <row r="110" spans="1:17" ht="14.4" x14ac:dyDescent="0.3">
      <c r="A110" s="1">
        <f>IF(OR(A109="",F109=0,A109=Refinance_Calculator!$C$16),"",A109+1)</f>
        <v>25</v>
      </c>
      <c r="B110" s="3">
        <f t="shared" si="5"/>
        <v>14339.585121142994</v>
      </c>
      <c r="C110" s="3">
        <f>IF(A110="","",(-PMT(Refinance_Calculator!$C$13/12,Refinance_Calculator!$C$16,Full_Report!$B$86,0,0)))</f>
        <v>125.46601034901943</v>
      </c>
      <c r="D110" s="3">
        <f t="shared" si="6"/>
        <v>95.597234140953347</v>
      </c>
      <c r="E110" s="3">
        <f>IF(A110="","",(-PPMT(Refinance_Calculator!$C$13/12,Full_Report!A110,Refinance_Calculator!$C$16,Full_Report!$B$86,0,0)))</f>
        <v>29.868776208066084</v>
      </c>
      <c r="F110" s="3">
        <f t="shared" si="7"/>
        <v>14309.716344934928</v>
      </c>
      <c r="G110" s="5">
        <f t="shared" si="3"/>
        <v>690.28365506506611</v>
      </c>
      <c r="H110" s="5">
        <f t="shared" si="4"/>
        <v>2446.36660366042</v>
      </c>
      <c r="J110" s="13">
        <v>24</v>
      </c>
      <c r="K110">
        <v>12523.40739656078</v>
      </c>
      <c r="L110">
        <v>3419.4613136077946</v>
      </c>
      <c r="M110">
        <v>7476.5926034392232</v>
      </c>
      <c r="O110" s="13">
        <v>25</v>
      </c>
      <c r="P110">
        <v>74.765926034392237</v>
      </c>
      <c r="Q110">
        <v>589.52027022263167</v>
      </c>
    </row>
    <row r="111" spans="1:17" ht="14.4" x14ac:dyDescent="0.3">
      <c r="A111" s="1">
        <f>IF(OR(A110="",F110=0,A110=Refinance_Calculator!$C$16),"",A110+1)</f>
        <v>26</v>
      </c>
      <c r="B111" s="3">
        <f t="shared" si="5"/>
        <v>14309.716344934928</v>
      </c>
      <c r="C111" s="3">
        <f>IF(A111="","",(-PMT(Refinance_Calculator!$C$13/12,Refinance_Calculator!$C$16,Full_Report!$B$86,0,0)))</f>
        <v>125.46601034901943</v>
      </c>
      <c r="D111" s="3">
        <f t="shared" si="6"/>
        <v>95.398108966232897</v>
      </c>
      <c r="E111" s="3">
        <f>IF(A111="","",(-PPMT(Refinance_Calculator!$C$13/12,Full_Report!A111,Refinance_Calculator!$C$16,Full_Report!$B$86,0,0)))</f>
        <v>30.067901382786527</v>
      </c>
      <c r="F111" s="3">
        <f t="shared" si="7"/>
        <v>14279.648443552142</v>
      </c>
      <c r="G111" s="5">
        <f t="shared" si="3"/>
        <v>720.35155644785266</v>
      </c>
      <c r="H111" s="5">
        <f t="shared" si="4"/>
        <v>2541.7647126266529</v>
      </c>
      <c r="J111" s="13">
        <v>25</v>
      </c>
      <c r="K111">
        <v>13112.927666783413</v>
      </c>
      <c r="L111">
        <v>3494.2272396421868</v>
      </c>
      <c r="M111">
        <v>6887.0723332165917</v>
      </c>
      <c r="O111" s="13">
        <v>26</v>
      </c>
      <c r="P111">
        <v>68.87072333216588</v>
      </c>
      <c r="Q111">
        <v>595.41547292485802</v>
      </c>
    </row>
    <row r="112" spans="1:17" ht="14.4" x14ac:dyDescent="0.3">
      <c r="A112" s="1">
        <f>IF(OR(A111="",F111=0,A111=Refinance_Calculator!$C$16),"",A111+1)</f>
        <v>27</v>
      </c>
      <c r="B112" s="3">
        <f t="shared" si="5"/>
        <v>14279.648443552142</v>
      </c>
      <c r="C112" s="3">
        <f>IF(A112="","",(-PMT(Refinance_Calculator!$C$13/12,Refinance_Calculator!$C$16,Full_Report!$B$86,0,0)))</f>
        <v>125.46601034901943</v>
      </c>
      <c r="D112" s="3">
        <f t="shared" si="6"/>
        <v>95.197656290347652</v>
      </c>
      <c r="E112" s="3">
        <f>IF(A112="","",(-PPMT(Refinance_Calculator!$C$13/12,Full_Report!A112,Refinance_Calculator!$C$16,Full_Report!$B$86,0,0)))</f>
        <v>30.268354058671779</v>
      </c>
      <c r="F112" s="3">
        <f t="shared" si="7"/>
        <v>14249.38008949347</v>
      </c>
      <c r="G112" s="5">
        <f t="shared" si="3"/>
        <v>750.61991050652443</v>
      </c>
      <c r="H112" s="5">
        <f t="shared" si="4"/>
        <v>2636.9623689170007</v>
      </c>
      <c r="J112" s="13">
        <v>26</v>
      </c>
      <c r="K112">
        <v>13708.343139708271</v>
      </c>
      <c r="L112">
        <v>3563.0979629743524</v>
      </c>
      <c r="M112">
        <v>6291.6568602917341</v>
      </c>
      <c r="O112" s="13">
        <v>27</v>
      </c>
      <c r="P112">
        <v>62.916568602917323</v>
      </c>
      <c r="Q112">
        <v>601.36962765410658</v>
      </c>
    </row>
    <row r="113" spans="1:17" ht="14.4" x14ac:dyDescent="0.3">
      <c r="A113" s="1">
        <f>IF(OR(A112="",F112=0,A112=Refinance_Calculator!$C$16),"",A112+1)</f>
        <v>28</v>
      </c>
      <c r="B113" s="3">
        <f t="shared" si="5"/>
        <v>14249.38008949347</v>
      </c>
      <c r="C113" s="3">
        <f>IF(A113="","",(-PMT(Refinance_Calculator!$C$13/12,Refinance_Calculator!$C$16,Full_Report!$B$86,0,0)))</f>
        <v>125.46601034901943</v>
      </c>
      <c r="D113" s="3">
        <f t="shared" si="6"/>
        <v>94.995867263289838</v>
      </c>
      <c r="E113" s="3">
        <f>IF(A113="","",(-PPMT(Refinance_Calculator!$C$13/12,Full_Report!A113,Refinance_Calculator!$C$16,Full_Report!$B$86,0,0)))</f>
        <v>30.470143085729585</v>
      </c>
      <c r="F113" s="3">
        <f t="shared" si="7"/>
        <v>14218.909946407741</v>
      </c>
      <c r="G113" s="5">
        <f t="shared" si="3"/>
        <v>781.09005359225398</v>
      </c>
      <c r="H113" s="5">
        <f t="shared" si="4"/>
        <v>2731.9582361802904</v>
      </c>
      <c r="J113" s="13">
        <v>27</v>
      </c>
      <c r="K113">
        <v>14309.712767362378</v>
      </c>
      <c r="L113">
        <v>3626.0145315772697</v>
      </c>
      <c r="M113">
        <v>5690.2872326376273</v>
      </c>
      <c r="O113" s="13">
        <v>28</v>
      </c>
      <c r="P113">
        <v>56.902872326376269</v>
      </c>
      <c r="Q113">
        <v>607.38332393064763</v>
      </c>
    </row>
    <row r="114" spans="1:17" ht="14.4" x14ac:dyDescent="0.3">
      <c r="A114" s="1">
        <f>IF(OR(A113="",F113=0,A113=Refinance_Calculator!$C$16),"",A113+1)</f>
        <v>29</v>
      </c>
      <c r="B114" s="3">
        <f t="shared" si="5"/>
        <v>14218.909946407741</v>
      </c>
      <c r="C114" s="3">
        <f>IF(A114="","",(-PMT(Refinance_Calculator!$C$13/12,Refinance_Calculator!$C$16,Full_Report!$B$86,0,0)))</f>
        <v>125.46601034901943</v>
      </c>
      <c r="D114" s="3">
        <f t="shared" si="6"/>
        <v>94.792732976051639</v>
      </c>
      <c r="E114" s="3">
        <f>IF(A114="","",(-PPMT(Refinance_Calculator!$C$13/12,Full_Report!A114,Refinance_Calculator!$C$16,Full_Report!$B$86,0,0)))</f>
        <v>30.673277372967782</v>
      </c>
      <c r="F114" s="3">
        <f t="shared" si="7"/>
        <v>14188.236669034774</v>
      </c>
      <c r="G114" s="5">
        <f t="shared" si="3"/>
        <v>811.76333096522171</v>
      </c>
      <c r="H114" s="5">
        <f t="shared" si="4"/>
        <v>2826.7509691563419</v>
      </c>
      <c r="J114" s="13">
        <v>28</v>
      </c>
      <c r="K114">
        <v>14917.096091293026</v>
      </c>
      <c r="L114">
        <v>3682.9174039036461</v>
      </c>
      <c r="M114">
        <v>5082.9039087069796</v>
      </c>
      <c r="O114" s="13">
        <v>29</v>
      </c>
      <c r="P114">
        <v>50.829039087069873</v>
      </c>
      <c r="Q114">
        <v>613.45715716995403</v>
      </c>
    </row>
    <row r="115" spans="1:17" ht="14.4" x14ac:dyDescent="0.3">
      <c r="A115" s="1">
        <f>IF(OR(A114="",F114=0,A114=Refinance_Calculator!$C$16),"",A114+1)</f>
        <v>30</v>
      </c>
      <c r="B115" s="3">
        <f t="shared" si="5"/>
        <v>14188.236669034774</v>
      </c>
      <c r="C115" s="3">
        <f>IF(A115="","",(-PMT(Refinance_Calculator!$C$13/12,Refinance_Calculator!$C$16,Full_Report!$B$86,0,0)))</f>
        <v>125.46601034901943</v>
      </c>
      <c r="D115" s="3">
        <f t="shared" si="6"/>
        <v>94.588244460231863</v>
      </c>
      <c r="E115" s="3">
        <f>IF(A115="","",(-PPMT(Refinance_Calculator!$C$13/12,Full_Report!A115,Refinance_Calculator!$C$16,Full_Report!$B$86,0,0)))</f>
        <v>30.877765888787565</v>
      </c>
      <c r="F115" s="3">
        <f t="shared" si="7"/>
        <v>14157.358903145985</v>
      </c>
      <c r="G115" s="5">
        <f t="shared" si="3"/>
        <v>842.64109685400922</v>
      </c>
      <c r="H115" s="5">
        <f t="shared" si="4"/>
        <v>2921.3392136165739</v>
      </c>
      <c r="J115" s="13">
        <v>29</v>
      </c>
      <c r="K115">
        <v>15530.55324846298</v>
      </c>
      <c r="L115">
        <v>3733.7464429907159</v>
      </c>
      <c r="M115">
        <v>4469.4467515370252</v>
      </c>
      <c r="O115" s="13">
        <v>30</v>
      </c>
      <c r="P115">
        <v>44.69446751537032</v>
      </c>
      <c r="Q115">
        <v>619.59172874165358</v>
      </c>
    </row>
    <row r="116" spans="1:17" ht="14.4" x14ac:dyDescent="0.3">
      <c r="A116" s="1">
        <f>IF(OR(A115="",F115=0,A115=Refinance_Calculator!$C$16),"",A115+1)</f>
        <v>31</v>
      </c>
      <c r="B116" s="3">
        <f t="shared" si="5"/>
        <v>14157.358903145985</v>
      </c>
      <c r="C116" s="3">
        <f>IF(A116="","",(-PMT(Refinance_Calculator!$C$13/12,Refinance_Calculator!$C$16,Full_Report!$B$86,0,0)))</f>
        <v>125.46601034901943</v>
      </c>
      <c r="D116" s="3">
        <f t="shared" si="6"/>
        <v>94.382392687639936</v>
      </c>
      <c r="E116" s="3">
        <f>IF(A116="","",(-PPMT(Refinance_Calculator!$C$13/12,Full_Report!A116,Refinance_Calculator!$C$16,Full_Report!$B$86,0,0)))</f>
        <v>31.083617661379488</v>
      </c>
      <c r="F116" s="3">
        <f t="shared" si="7"/>
        <v>14126.275285484606</v>
      </c>
      <c r="G116" s="5">
        <f t="shared" si="3"/>
        <v>873.72471451538865</v>
      </c>
      <c r="H116" s="5">
        <f t="shared" si="4"/>
        <v>3015.7216063042138</v>
      </c>
      <c r="J116" s="13">
        <v>30</v>
      </c>
      <c r="K116">
        <v>16150.144977204634</v>
      </c>
      <c r="L116">
        <v>3778.4409105060863</v>
      </c>
      <c r="M116">
        <v>3849.8550227953715</v>
      </c>
      <c r="O116" s="13">
        <v>31</v>
      </c>
      <c r="P116">
        <v>38.498550227953729</v>
      </c>
      <c r="Q116">
        <v>625.78764602907017</v>
      </c>
    </row>
    <row r="117" spans="1:17" ht="14.4" x14ac:dyDescent="0.3">
      <c r="A117" s="1">
        <f>IF(OR(A116="",F116=0,A116=Refinance_Calculator!$C$16),"",A116+1)</f>
        <v>32</v>
      </c>
      <c r="B117" s="3">
        <f t="shared" si="5"/>
        <v>14126.275285484606</v>
      </c>
      <c r="C117" s="3">
        <f>IF(A117="","",(-PMT(Refinance_Calculator!$C$13/12,Refinance_Calculator!$C$16,Full_Report!$B$86,0,0)))</f>
        <v>125.46601034901943</v>
      </c>
      <c r="D117" s="3">
        <f t="shared" si="6"/>
        <v>94.175168569897423</v>
      </c>
      <c r="E117" s="3">
        <f>IF(A117="","",(-PPMT(Refinance_Calculator!$C$13/12,Full_Report!A117,Refinance_Calculator!$C$16,Full_Report!$B$86,0,0)))</f>
        <v>31.290841779122008</v>
      </c>
      <c r="F117" s="3">
        <f t="shared" si="7"/>
        <v>14094.984443705483</v>
      </c>
      <c r="G117" s="5">
        <f t="shared" si="3"/>
        <v>905.0155562945107</v>
      </c>
      <c r="H117" s="5">
        <f t="shared" si="4"/>
        <v>3109.8967748741111</v>
      </c>
      <c r="J117" s="13">
        <v>31</v>
      </c>
      <c r="K117">
        <v>16775.932623233704</v>
      </c>
      <c r="L117">
        <v>3816.93946073404</v>
      </c>
      <c r="M117">
        <v>3224.0673767663011</v>
      </c>
      <c r="O117" s="13">
        <v>32</v>
      </c>
      <c r="P117">
        <v>32.240673767663111</v>
      </c>
      <c r="Q117">
        <v>632.04552248936079</v>
      </c>
    </row>
    <row r="118" spans="1:17" ht="14.4" x14ac:dyDescent="0.3">
      <c r="A118" s="1">
        <f>IF(OR(A117="",F117=0,A117=Refinance_Calculator!$C$16),"",A117+1)</f>
        <v>33</v>
      </c>
      <c r="B118" s="3">
        <f t="shared" si="5"/>
        <v>14094.984443705483</v>
      </c>
      <c r="C118" s="3">
        <f>IF(A118="","",(-PMT(Refinance_Calculator!$C$13/12,Refinance_Calculator!$C$16,Full_Report!$B$86,0,0)))</f>
        <v>125.46601034901943</v>
      </c>
      <c r="D118" s="3">
        <f t="shared" si="6"/>
        <v>93.966562958036604</v>
      </c>
      <c r="E118" s="3">
        <f>IF(A118="","",(-PPMT(Refinance_Calculator!$C$13/12,Full_Report!A118,Refinance_Calculator!$C$16,Full_Report!$B$86,0,0)))</f>
        <v>31.49944739098283</v>
      </c>
      <c r="F118" s="3">
        <f t="shared" si="7"/>
        <v>14063.484996314501</v>
      </c>
      <c r="G118" s="5">
        <f t="shared" si="3"/>
        <v>936.51500368549353</v>
      </c>
      <c r="H118" s="5">
        <f t="shared" si="4"/>
        <v>3203.8633378321479</v>
      </c>
      <c r="J118" s="13">
        <v>32</v>
      </c>
      <c r="K118">
        <v>17407.978145723064</v>
      </c>
      <c r="L118">
        <v>3849.1801345017029</v>
      </c>
      <c r="M118">
        <v>2592.0218542769403</v>
      </c>
      <c r="O118" s="13">
        <v>33</v>
      </c>
      <c r="P118">
        <v>25.920218542769362</v>
      </c>
      <c r="Q118">
        <v>638.36597771425454</v>
      </c>
    </row>
    <row r="119" spans="1:17" ht="14.4" x14ac:dyDescent="0.3">
      <c r="A119" s="1">
        <f>IF(OR(A118="",F118=0,A118=Refinance_Calculator!$C$16),"",A118+1)</f>
        <v>34</v>
      </c>
      <c r="B119" s="3">
        <f t="shared" si="5"/>
        <v>14063.484996314501</v>
      </c>
      <c r="C119" s="3">
        <f>IF(A119="","",(-PMT(Refinance_Calculator!$C$13/12,Refinance_Calculator!$C$16,Full_Report!$B$86,0,0)))</f>
        <v>125.46601034901943</v>
      </c>
      <c r="D119" s="3">
        <f t="shared" si="6"/>
        <v>93.756566642096715</v>
      </c>
      <c r="E119" s="3">
        <f>IF(A119="","",(-PPMT(Refinance_Calculator!$C$13/12,Full_Report!A119,Refinance_Calculator!$C$16,Full_Report!$B$86,0,0)))</f>
        <v>31.709443706922709</v>
      </c>
      <c r="F119" s="3">
        <f t="shared" si="7"/>
        <v>14031.775552607578</v>
      </c>
      <c r="G119" s="5">
        <f t="shared" si="3"/>
        <v>968.22444739241621</v>
      </c>
      <c r="H119" s="5">
        <f t="shared" si="4"/>
        <v>3297.6199044742448</v>
      </c>
      <c r="J119" s="13">
        <v>33</v>
      </c>
      <c r="K119">
        <v>18046.344123437317</v>
      </c>
      <c r="L119">
        <v>3875.1003530444723</v>
      </c>
      <c r="M119">
        <v>1953.6558765626858</v>
      </c>
      <c r="O119" s="13">
        <v>34</v>
      </c>
      <c r="P119">
        <v>19.536558765626864</v>
      </c>
      <c r="Q119">
        <v>644.74963749139704</v>
      </c>
    </row>
    <row r="120" spans="1:17" ht="14.4" x14ac:dyDescent="0.3">
      <c r="A120" s="1">
        <f>IF(OR(A119="",F119=0,A119=Refinance_Calculator!$C$16),"",A119+1)</f>
        <v>35</v>
      </c>
      <c r="B120" s="3">
        <f t="shared" si="5"/>
        <v>14031.775552607578</v>
      </c>
      <c r="C120" s="3">
        <f>IF(A120="","",(-PMT(Refinance_Calculator!$C$13/12,Refinance_Calculator!$C$16,Full_Report!$B$86,0,0)))</f>
        <v>125.46601034901943</v>
      </c>
      <c r="D120" s="3">
        <f t="shared" si="6"/>
        <v>93.545170350717228</v>
      </c>
      <c r="E120" s="3">
        <f>IF(A120="","",(-PPMT(Refinance_Calculator!$C$13/12,Full_Report!A120,Refinance_Calculator!$C$16,Full_Report!$B$86,0,0)))</f>
        <v>31.920839998302203</v>
      </c>
      <c r="F120" s="3">
        <f t="shared" si="7"/>
        <v>13999.854712609276</v>
      </c>
      <c r="G120" s="5">
        <f t="shared" si="3"/>
        <v>1000.1452873907184</v>
      </c>
      <c r="H120" s="5">
        <f t="shared" si="4"/>
        <v>3391.1650748249622</v>
      </c>
      <c r="J120" s="13">
        <v>34</v>
      </c>
      <c r="K120">
        <v>18691.093760928714</v>
      </c>
      <c r="L120">
        <v>3894.6369118100993</v>
      </c>
      <c r="M120">
        <v>1308.9062390712888</v>
      </c>
      <c r="O120" s="13">
        <v>35</v>
      </c>
      <c r="P120">
        <v>13.089062390712911</v>
      </c>
      <c r="Q120">
        <v>651.19713386631099</v>
      </c>
    </row>
    <row r="121" spans="1:17" ht="14.4" x14ac:dyDescent="0.3">
      <c r="A121" s="1">
        <f>IF(OR(A120="",F120=0,A120=Refinance_Calculator!$C$16),"",A120+1)</f>
        <v>36</v>
      </c>
      <c r="B121" s="3">
        <f t="shared" si="5"/>
        <v>13999.854712609276</v>
      </c>
      <c r="C121" s="3">
        <f>IF(A121="","",(-PMT(Refinance_Calculator!$C$13/12,Refinance_Calculator!$C$16,Full_Report!$B$86,0,0)))</f>
        <v>125.46601034901943</v>
      </c>
      <c r="D121" s="3">
        <f t="shared" si="6"/>
        <v>93.332364750728544</v>
      </c>
      <c r="E121" s="3">
        <f>IF(A121="","",(-PPMT(Refinance_Calculator!$C$13/12,Full_Report!A121,Refinance_Calculator!$C$16,Full_Report!$B$86,0,0)))</f>
        <v>32.133645598290876</v>
      </c>
      <c r="F121" s="3">
        <f t="shared" si="7"/>
        <v>13967.721067010985</v>
      </c>
      <c r="G121" s="5">
        <f t="shared" si="3"/>
        <v>1032.2789329890093</v>
      </c>
      <c r="H121" s="5">
        <f t="shared" si="4"/>
        <v>3484.4974395756908</v>
      </c>
      <c r="J121" s="13">
        <v>35</v>
      </c>
      <c r="K121">
        <v>19342.290894795024</v>
      </c>
      <c r="L121">
        <v>3907.7259742008123</v>
      </c>
      <c r="M121">
        <v>657.70910520497785</v>
      </c>
      <c r="O121" s="13">
        <v>36</v>
      </c>
      <c r="P121">
        <v>6.5770910520498092</v>
      </c>
      <c r="Q121">
        <v>657.70910520497409</v>
      </c>
    </row>
    <row r="122" spans="1:17" ht="14.4" x14ac:dyDescent="0.3">
      <c r="A122" s="1">
        <f>IF(OR(A121="",F121=0,A121=Refinance_Calculator!$C$16),"",A121+1)</f>
        <v>37</v>
      </c>
      <c r="B122" s="3">
        <f t="shared" si="5"/>
        <v>13967.721067010985</v>
      </c>
      <c r="C122" s="3">
        <f>IF(A122="","",(-PMT(Refinance_Calculator!$C$13/12,Refinance_Calculator!$C$16,Full_Report!$B$86,0,0)))</f>
        <v>125.46601034901943</v>
      </c>
      <c r="D122" s="3">
        <f t="shared" si="6"/>
        <v>93.118140446739943</v>
      </c>
      <c r="E122" s="3">
        <f>IF(A122="","",(-PPMT(Refinance_Calculator!$C$13/12,Full_Report!A122,Refinance_Calculator!$C$16,Full_Report!$B$86,0,0)))</f>
        <v>32.347869902279484</v>
      </c>
      <c r="F122" s="3">
        <f t="shared" si="7"/>
        <v>13935.373197108705</v>
      </c>
      <c r="G122" s="5">
        <f t="shared" si="3"/>
        <v>1064.6268028912887</v>
      </c>
      <c r="H122" s="5">
        <f t="shared" si="4"/>
        <v>3577.6155800224305</v>
      </c>
      <c r="J122" s="13">
        <v>36</v>
      </c>
      <c r="K122">
        <v>19999.999999999996</v>
      </c>
      <c r="L122">
        <v>3914.3030652528623</v>
      </c>
      <c r="M122">
        <v>3.751665644813329E-12</v>
      </c>
      <c r="O122" s="13"/>
      <c r="P122">
        <v>0</v>
      </c>
      <c r="Q122">
        <v>0</v>
      </c>
    </row>
    <row r="123" spans="1:17" ht="14.4" x14ac:dyDescent="0.3">
      <c r="A123" s="1">
        <f>IF(OR(A122="",F122=0,A122=Refinance_Calculator!$C$16),"",A122+1)</f>
        <v>38</v>
      </c>
      <c r="B123" s="3">
        <f t="shared" si="5"/>
        <v>13935.373197108705</v>
      </c>
      <c r="C123" s="3">
        <f>IF(A123="","",(-PMT(Refinance_Calculator!$C$13/12,Refinance_Calculator!$C$16,Full_Report!$B$86,0,0)))</f>
        <v>125.46601034901943</v>
      </c>
      <c r="D123" s="3">
        <f t="shared" si="6"/>
        <v>92.902487980724743</v>
      </c>
      <c r="E123" s="3">
        <f>IF(A123="","",(-PPMT(Refinance_Calculator!$C$13/12,Full_Report!A123,Refinance_Calculator!$C$16,Full_Report!$B$86,0,0)))</f>
        <v>32.563522368294677</v>
      </c>
      <c r="F123" s="3">
        <f t="shared" si="7"/>
        <v>13902.809674740411</v>
      </c>
      <c r="G123" s="5">
        <f t="shared" si="3"/>
        <v>1097.1903252595832</v>
      </c>
      <c r="H123" s="5">
        <f t="shared" si="4"/>
        <v>3670.5180680031553</v>
      </c>
      <c r="J123" s="13"/>
      <c r="K123">
        <v>0</v>
      </c>
      <c r="L123">
        <v>0</v>
      </c>
      <c r="M123">
        <v>0</v>
      </c>
      <c r="O123" s="13" t="s">
        <v>37</v>
      </c>
      <c r="P123">
        <v>200.00000000000006</v>
      </c>
      <c r="Q123">
        <v>657.70910520497409</v>
      </c>
    </row>
    <row r="124" spans="1:17" ht="14.4" x14ac:dyDescent="0.3">
      <c r="A124" s="1">
        <f>IF(OR(A123="",F123=0,A123=Refinance_Calculator!$C$16),"",A123+1)</f>
        <v>39</v>
      </c>
      <c r="B124" s="3">
        <f t="shared" si="5"/>
        <v>13902.809674740411</v>
      </c>
      <c r="C124" s="3">
        <f>IF(A124="","",(-PMT(Refinance_Calculator!$C$13/12,Refinance_Calculator!$C$16,Full_Report!$B$86,0,0)))</f>
        <v>125.46601034901943</v>
      </c>
      <c r="D124" s="3">
        <f t="shared" si="6"/>
        <v>92.685397831602785</v>
      </c>
      <c r="E124" s="3">
        <f>IF(A124="","",(-PPMT(Refinance_Calculator!$C$13/12,Full_Report!A124,Refinance_Calculator!$C$16,Full_Report!$B$86,0,0)))</f>
        <v>32.780612517416643</v>
      </c>
      <c r="F124" s="3">
        <f t="shared" si="7"/>
        <v>13870.029062222993</v>
      </c>
      <c r="G124" s="5">
        <f t="shared" si="3"/>
        <v>1129.9709377769998</v>
      </c>
      <c r="H124" s="5">
        <f t="shared" si="4"/>
        <v>3763.2034658347579</v>
      </c>
      <c r="J124" s="13" t="s">
        <v>37</v>
      </c>
      <c r="K124">
        <v>19999.999999999996</v>
      </c>
      <c r="L124">
        <v>3914.3030652528623</v>
      </c>
      <c r="M124">
        <v>19535.713803742976</v>
      </c>
      <c r="O124"/>
      <c r="P124"/>
      <c r="Q124"/>
    </row>
    <row r="125" spans="1:17" ht="14.4" x14ac:dyDescent="0.3">
      <c r="A125" s="1">
        <f>IF(OR(A124="",F124=0,A124=Refinance_Calculator!$C$16),"",A124+1)</f>
        <v>40</v>
      </c>
      <c r="B125" s="3">
        <f t="shared" si="5"/>
        <v>13870.029062222993</v>
      </c>
      <c r="C125" s="3">
        <f>IF(A125="","",(-PMT(Refinance_Calculator!$C$13/12,Refinance_Calculator!$C$16,Full_Report!$B$86,0,0)))</f>
        <v>125.46601034901943</v>
      </c>
      <c r="D125" s="3">
        <f t="shared" si="6"/>
        <v>92.46686041481999</v>
      </c>
      <c r="E125" s="3">
        <f>IF(A125="","",(-PPMT(Refinance_Calculator!$C$13/12,Full_Report!A125,Refinance_Calculator!$C$16,Full_Report!$B$86,0,0)))</f>
        <v>32.99914993419943</v>
      </c>
      <c r="F125" s="3">
        <f t="shared" si="7"/>
        <v>13837.029912288794</v>
      </c>
      <c r="G125" s="5">
        <f t="shared" si="3"/>
        <v>1162.9700877111993</v>
      </c>
      <c r="H125" s="5">
        <f t="shared" si="4"/>
        <v>3855.670326249578</v>
      </c>
      <c r="J125"/>
      <c r="K125"/>
      <c r="L125"/>
      <c r="M125"/>
      <c r="O125"/>
      <c r="P125"/>
      <c r="Q125"/>
    </row>
    <row r="126" spans="1:17" ht="14.4" x14ac:dyDescent="0.3">
      <c r="A126" s="1">
        <f>IF(OR(A125="",F125=0,A125=Refinance_Calculator!$C$16),"",A125+1)</f>
        <v>41</v>
      </c>
      <c r="B126" s="3">
        <f t="shared" si="5"/>
        <v>13837.029912288794</v>
      </c>
      <c r="C126" s="3">
        <f>IF(A126="","",(-PMT(Refinance_Calculator!$C$13/12,Refinance_Calculator!$C$16,Full_Report!$B$86,0,0)))</f>
        <v>125.46601034901943</v>
      </c>
      <c r="D126" s="3">
        <f t="shared" si="6"/>
        <v>92.246866081925333</v>
      </c>
      <c r="E126" s="3">
        <f>IF(A126="","",(-PPMT(Refinance_Calculator!$C$13/12,Full_Report!A126,Refinance_Calculator!$C$16,Full_Report!$B$86,0,0)))</f>
        <v>33.219144267094094</v>
      </c>
      <c r="F126" s="3">
        <f t="shared" si="7"/>
        <v>13803.8107680217</v>
      </c>
      <c r="G126" s="5">
        <f t="shared" si="3"/>
        <v>1196.1892319782935</v>
      </c>
      <c r="H126" s="5">
        <f t="shared" si="4"/>
        <v>3947.9171923315034</v>
      </c>
      <c r="J126"/>
      <c r="K126"/>
      <c r="L126"/>
      <c r="M126"/>
      <c r="O126"/>
      <c r="P126"/>
      <c r="Q126"/>
    </row>
    <row r="127" spans="1:17" ht="14.4" x14ac:dyDescent="0.3">
      <c r="A127" s="1">
        <f>IF(OR(A126="",F126=0,A126=Refinance_Calculator!$C$16),"",A126+1)</f>
        <v>42</v>
      </c>
      <c r="B127" s="3">
        <f t="shared" si="5"/>
        <v>13803.8107680217</v>
      </c>
      <c r="C127" s="3">
        <f>IF(A127="","",(-PMT(Refinance_Calculator!$C$13/12,Refinance_Calculator!$C$16,Full_Report!$B$86,0,0)))</f>
        <v>125.46601034901943</v>
      </c>
      <c r="D127" s="3">
        <f t="shared" si="6"/>
        <v>92.025405120144711</v>
      </c>
      <c r="E127" s="3">
        <f>IF(A127="","",(-PPMT(Refinance_Calculator!$C$13/12,Full_Report!A127,Refinance_Calculator!$C$16,Full_Report!$B$86,0,0)))</f>
        <v>33.440605228874716</v>
      </c>
      <c r="F127" s="3">
        <f t="shared" si="7"/>
        <v>13770.370162792826</v>
      </c>
      <c r="G127" s="5">
        <f t="shared" si="3"/>
        <v>1229.6298372071683</v>
      </c>
      <c r="H127" s="5">
        <f t="shared" si="4"/>
        <v>4039.942597451648</v>
      </c>
      <c r="J127"/>
      <c r="K127"/>
      <c r="L127"/>
      <c r="M127"/>
      <c r="O127"/>
      <c r="P127"/>
      <c r="Q127"/>
    </row>
    <row r="128" spans="1:17" ht="14.4" x14ac:dyDescent="0.3">
      <c r="A128" s="1">
        <f>IF(OR(A127="",F127=0,A127=Refinance_Calculator!$C$16),"",A127+1)</f>
        <v>43</v>
      </c>
      <c r="B128" s="3">
        <f t="shared" si="5"/>
        <v>13770.370162792826</v>
      </c>
      <c r="C128" s="3">
        <f>IF(A128="","",(-PMT(Refinance_Calculator!$C$13/12,Refinance_Calculator!$C$16,Full_Report!$B$86,0,0)))</f>
        <v>125.46601034901943</v>
      </c>
      <c r="D128" s="3">
        <f t="shared" si="6"/>
        <v>91.802467751952207</v>
      </c>
      <c r="E128" s="3">
        <f>IF(A128="","",(-PPMT(Refinance_Calculator!$C$13/12,Full_Report!A128,Refinance_Calculator!$C$16,Full_Report!$B$86,0,0)))</f>
        <v>33.663542597067213</v>
      </c>
      <c r="F128" s="3">
        <f t="shared" si="7"/>
        <v>13736.706620195759</v>
      </c>
      <c r="G128" s="5">
        <f t="shared" si="3"/>
        <v>1263.2933798042354</v>
      </c>
      <c r="H128" s="5">
        <f t="shared" si="4"/>
        <v>4131.7450652036005</v>
      </c>
      <c r="J128"/>
      <c r="K128"/>
      <c r="L128"/>
      <c r="M128"/>
      <c r="O128"/>
      <c r="P128"/>
      <c r="Q128"/>
    </row>
    <row r="129" spans="1:17" ht="14.4" x14ac:dyDescent="0.3">
      <c r="A129" s="1">
        <f>IF(OR(A128="",F128=0,A128=Refinance_Calculator!$C$16),"",A128+1)</f>
        <v>44</v>
      </c>
      <c r="B129" s="3">
        <f t="shared" si="5"/>
        <v>13736.706620195759</v>
      </c>
      <c r="C129" s="3">
        <f>IF(A129="","",(-PMT(Refinance_Calculator!$C$13/12,Refinance_Calculator!$C$16,Full_Report!$B$86,0,0)))</f>
        <v>125.46601034901943</v>
      </c>
      <c r="D129" s="3">
        <f t="shared" si="6"/>
        <v>91.578044134638446</v>
      </c>
      <c r="E129" s="3">
        <f>IF(A129="","",(-PPMT(Refinance_Calculator!$C$13/12,Full_Report!A129,Refinance_Calculator!$C$16,Full_Report!$B$86,0,0)))</f>
        <v>33.887966214380988</v>
      </c>
      <c r="F129" s="3">
        <f t="shared" si="7"/>
        <v>13702.818653981378</v>
      </c>
      <c r="G129" s="5">
        <f t="shared" si="3"/>
        <v>1297.1813460186165</v>
      </c>
      <c r="H129" s="5">
        <f t="shared" si="4"/>
        <v>4223.3231093382392</v>
      </c>
      <c r="J129"/>
      <c r="K129"/>
      <c r="L129"/>
      <c r="M129"/>
      <c r="O129"/>
      <c r="P129"/>
      <c r="Q129"/>
    </row>
    <row r="130" spans="1:17" ht="14.4" x14ac:dyDescent="0.3">
      <c r="A130" s="1">
        <f>IF(OR(A129="",F129=0,A129=Refinance_Calculator!$C$16),"",A129+1)</f>
        <v>45</v>
      </c>
      <c r="B130" s="3">
        <f t="shared" si="5"/>
        <v>13702.818653981378</v>
      </c>
      <c r="C130" s="3">
        <f>IF(A130="","",(-PMT(Refinance_Calculator!$C$13/12,Refinance_Calculator!$C$16,Full_Report!$B$86,0,0)))</f>
        <v>125.46601034901943</v>
      </c>
      <c r="D130" s="3">
        <f t="shared" si="6"/>
        <v>91.352124359875887</v>
      </c>
      <c r="E130" s="3">
        <f>IF(A130="","",(-PPMT(Refinance_Calculator!$C$13/12,Full_Report!A130,Refinance_Calculator!$C$16,Full_Report!$B$86,0,0)))</f>
        <v>34.113885989143533</v>
      </c>
      <c r="F130" s="3">
        <f t="shared" si="7"/>
        <v>13668.704767992234</v>
      </c>
      <c r="G130" s="5">
        <f t="shared" si="3"/>
        <v>1331.29523200776</v>
      </c>
      <c r="H130" s="5">
        <f t="shared" si="4"/>
        <v>4314.6752336981153</v>
      </c>
      <c r="J130"/>
      <c r="K130"/>
      <c r="L130"/>
      <c r="M130"/>
      <c r="O130"/>
      <c r="P130"/>
      <c r="Q130"/>
    </row>
    <row r="131" spans="1:17" ht="14.4" x14ac:dyDescent="0.3">
      <c r="A131" s="1">
        <f>IF(OR(A130="",F130=0,A130=Refinance_Calculator!$C$16),"",A130+1)</f>
        <v>46</v>
      </c>
      <c r="B131" s="3">
        <f t="shared" si="5"/>
        <v>13668.704767992234</v>
      </c>
      <c r="C131" s="3">
        <f>IF(A131="","",(-PMT(Refinance_Calculator!$C$13/12,Refinance_Calculator!$C$16,Full_Report!$B$86,0,0)))</f>
        <v>125.46601034901943</v>
      </c>
      <c r="D131" s="3">
        <f t="shared" si="6"/>
        <v>91.12469845328161</v>
      </c>
      <c r="E131" s="3">
        <f>IF(A131="","",(-PPMT(Refinance_Calculator!$C$13/12,Full_Report!A131,Refinance_Calculator!$C$16,Full_Report!$B$86,0,0)))</f>
        <v>34.341311895737824</v>
      </c>
      <c r="F131" s="3">
        <f t="shared" si="7"/>
        <v>13634.363456096497</v>
      </c>
      <c r="G131" s="5">
        <f t="shared" si="3"/>
        <v>1365.6365439034978</v>
      </c>
      <c r="H131" s="5">
        <f t="shared" si="4"/>
        <v>4405.7999321513971</v>
      </c>
      <c r="J131"/>
      <c r="K131"/>
      <c r="L131"/>
      <c r="M131"/>
      <c r="O131"/>
      <c r="P131"/>
      <c r="Q131"/>
    </row>
    <row r="132" spans="1:17" ht="14.4" x14ac:dyDescent="0.3">
      <c r="A132" s="1">
        <f>IF(OR(A131="",F131=0,A131=Refinance_Calculator!$C$16),"",A131+1)</f>
        <v>47</v>
      </c>
      <c r="B132" s="3">
        <f t="shared" si="5"/>
        <v>13634.363456096497</v>
      </c>
      <c r="C132" s="3">
        <f>IF(A132="","",(-PMT(Refinance_Calculator!$C$13/12,Refinance_Calculator!$C$16,Full_Report!$B$86,0,0)))</f>
        <v>125.46601034901943</v>
      </c>
      <c r="D132" s="3">
        <f t="shared" si="6"/>
        <v>90.895756373976667</v>
      </c>
      <c r="E132" s="3">
        <f>IF(A132="","",(-PPMT(Refinance_Calculator!$C$13/12,Full_Report!A132,Refinance_Calculator!$C$16,Full_Report!$B$86,0,0)))</f>
        <v>34.570253975042753</v>
      </c>
      <c r="F132" s="3">
        <f t="shared" si="7"/>
        <v>13599.793202121455</v>
      </c>
      <c r="G132" s="5">
        <f t="shared" si="3"/>
        <v>1400.2067978785406</v>
      </c>
      <c r="H132" s="5">
        <f t="shared" si="4"/>
        <v>4496.695688525374</v>
      </c>
      <c r="J132"/>
      <c r="K132"/>
      <c r="L132"/>
      <c r="M132"/>
      <c r="O132"/>
      <c r="P132"/>
      <c r="Q132"/>
    </row>
    <row r="133" spans="1:17" ht="14.4" x14ac:dyDescent="0.3">
      <c r="A133" s="1">
        <f>IF(OR(A132="",F132=0,A132=Refinance_Calculator!$C$16),"",A132+1)</f>
        <v>48</v>
      </c>
      <c r="B133" s="3">
        <f t="shared" si="5"/>
        <v>13599.793202121455</v>
      </c>
      <c r="C133" s="3">
        <f>IF(A133="","",(-PMT(Refinance_Calculator!$C$13/12,Refinance_Calculator!$C$16,Full_Report!$B$86,0,0)))</f>
        <v>125.46601034901943</v>
      </c>
      <c r="D133" s="3">
        <f t="shared" si="6"/>
        <v>90.665288014143073</v>
      </c>
      <c r="E133" s="3">
        <f>IF(A133="","",(-PPMT(Refinance_Calculator!$C$13/12,Full_Report!A133,Refinance_Calculator!$C$16,Full_Report!$B$86,0,0)))</f>
        <v>34.800722334876362</v>
      </c>
      <c r="F133" s="3">
        <f t="shared" si="7"/>
        <v>13564.992479786579</v>
      </c>
      <c r="G133" s="5">
        <f t="shared" si="3"/>
        <v>1435.0075202134169</v>
      </c>
      <c r="H133" s="5">
        <f t="shared" si="4"/>
        <v>4587.3609765395167</v>
      </c>
      <c r="J133"/>
      <c r="K133"/>
      <c r="L133"/>
      <c r="M133"/>
      <c r="O133"/>
      <c r="P133"/>
      <c r="Q133"/>
    </row>
    <row r="134" spans="1:17" ht="14.4" x14ac:dyDescent="0.3">
      <c r="A134" s="1">
        <f>IF(OR(A133="",F133=0,A133=Refinance_Calculator!$C$16),"",A133+1)</f>
        <v>49</v>
      </c>
      <c r="B134" s="3">
        <f t="shared" si="5"/>
        <v>13564.992479786579</v>
      </c>
      <c r="C134" s="3">
        <f>IF(A134="","",(-PMT(Refinance_Calculator!$C$13/12,Refinance_Calculator!$C$16,Full_Report!$B$86,0,0)))</f>
        <v>125.46601034901943</v>
      </c>
      <c r="D134" s="3">
        <f t="shared" si="6"/>
        <v>90.433283198577215</v>
      </c>
      <c r="E134" s="3">
        <f>IF(A134="","",(-PPMT(Refinance_Calculator!$C$13/12,Full_Report!A134,Refinance_Calculator!$C$16,Full_Report!$B$86,0,0)))</f>
        <v>35.032727150442206</v>
      </c>
      <c r="F134" s="3">
        <f t="shared" si="7"/>
        <v>13529.959752636136</v>
      </c>
      <c r="G134" s="5">
        <f t="shared" si="3"/>
        <v>1470.0402473638592</v>
      </c>
      <c r="H134" s="5">
        <f t="shared" si="4"/>
        <v>4677.7942597380943</v>
      </c>
      <c r="J134"/>
      <c r="K134"/>
      <c r="L134"/>
      <c r="M134"/>
      <c r="O134"/>
      <c r="P134"/>
      <c r="Q134"/>
    </row>
    <row r="135" spans="1:17" ht="14.4" x14ac:dyDescent="0.3">
      <c r="A135" s="1">
        <f>IF(OR(A134="",F134=0,A134=Refinance_Calculator!$C$16),"",A134+1)</f>
        <v>50</v>
      </c>
      <c r="B135" s="3">
        <f t="shared" si="5"/>
        <v>13529.959752636136</v>
      </c>
      <c r="C135" s="3">
        <f>IF(A135="","",(-PMT(Refinance_Calculator!$C$13/12,Refinance_Calculator!$C$16,Full_Report!$B$86,0,0)))</f>
        <v>125.46601034901943</v>
      </c>
      <c r="D135" s="3">
        <f t="shared" si="6"/>
        <v>90.199731684240945</v>
      </c>
      <c r="E135" s="3">
        <f>IF(A135="","",(-PPMT(Refinance_Calculator!$C$13/12,Full_Report!A135,Refinance_Calculator!$C$16,Full_Report!$B$86,0,0)))</f>
        <v>35.266278664778483</v>
      </c>
      <c r="F135" s="3">
        <f t="shared" si="7"/>
        <v>13494.693473971358</v>
      </c>
      <c r="G135" s="5">
        <f t="shared" si="3"/>
        <v>1505.3065260286376</v>
      </c>
      <c r="H135" s="5">
        <f t="shared" si="4"/>
        <v>4767.9939914223351</v>
      </c>
      <c r="J135"/>
      <c r="K135"/>
      <c r="L135"/>
      <c r="M135"/>
      <c r="O135"/>
      <c r="P135"/>
      <c r="Q135"/>
    </row>
    <row r="136" spans="1:17" ht="14.4" x14ac:dyDescent="0.3">
      <c r="A136" s="1">
        <f>IF(OR(A135="",F135=0,A135=Refinance_Calculator!$C$16),"",A135+1)</f>
        <v>51</v>
      </c>
      <c r="B136" s="3">
        <f t="shared" si="5"/>
        <v>13494.693473971358</v>
      </c>
      <c r="C136" s="3">
        <f>IF(A136="","",(-PMT(Refinance_Calculator!$C$13/12,Refinance_Calculator!$C$16,Full_Report!$B$86,0,0)))</f>
        <v>125.46601034901943</v>
      </c>
      <c r="D136" s="3">
        <f t="shared" si="6"/>
        <v>89.964623159809094</v>
      </c>
      <c r="E136" s="3">
        <f>IF(A136="","",(-PPMT(Refinance_Calculator!$C$13/12,Full_Report!A136,Refinance_Calculator!$C$16,Full_Report!$B$86,0,0)))</f>
        <v>35.501387189210341</v>
      </c>
      <c r="F136" s="3">
        <f t="shared" si="7"/>
        <v>13459.192086782148</v>
      </c>
      <c r="G136" s="5">
        <f t="shared" si="3"/>
        <v>1540.807913217848</v>
      </c>
      <c r="H136" s="5">
        <f t="shared" si="4"/>
        <v>4857.958614582144</v>
      </c>
      <c r="J136"/>
      <c r="K136"/>
      <c r="L136"/>
      <c r="M136"/>
      <c r="O136"/>
      <c r="P136"/>
      <c r="Q136"/>
    </row>
    <row r="137" spans="1:17" ht="14.4" x14ac:dyDescent="0.3">
      <c r="A137" s="1">
        <f>IF(OR(A136="",F136=0,A136=Refinance_Calculator!$C$16),"",A136+1)</f>
        <v>52</v>
      </c>
      <c r="B137" s="3">
        <f t="shared" si="5"/>
        <v>13459.192086782148</v>
      </c>
      <c r="C137" s="3">
        <f>IF(A137="","",(-PMT(Refinance_Calculator!$C$13/12,Refinance_Calculator!$C$16,Full_Report!$B$86,0,0)))</f>
        <v>125.46601034901943</v>
      </c>
      <c r="D137" s="3">
        <f t="shared" si="6"/>
        <v>89.727947245214352</v>
      </c>
      <c r="E137" s="3">
        <f>IF(A137="","",(-PPMT(Refinance_Calculator!$C$13/12,Full_Report!A137,Refinance_Calculator!$C$16,Full_Report!$B$86,0,0)))</f>
        <v>35.738063103805082</v>
      </c>
      <c r="F137" s="3">
        <f t="shared" si="7"/>
        <v>13423.454023678343</v>
      </c>
      <c r="G137" s="5">
        <f t="shared" si="3"/>
        <v>1576.5459763216531</v>
      </c>
      <c r="H137" s="5">
        <f t="shared" si="4"/>
        <v>4947.6865618273587</v>
      </c>
      <c r="J137"/>
      <c r="K137"/>
      <c r="L137"/>
      <c r="M137"/>
      <c r="O137"/>
      <c r="P137"/>
      <c r="Q137"/>
    </row>
    <row r="138" spans="1:17" ht="14.4" x14ac:dyDescent="0.3">
      <c r="A138" s="1">
        <f>IF(OR(A137="",F137=0,A137=Refinance_Calculator!$C$16),"",A137+1)</f>
        <v>53</v>
      </c>
      <c r="B138" s="3">
        <f t="shared" si="5"/>
        <v>13423.454023678343</v>
      </c>
      <c r="C138" s="3">
        <f>IF(A138="","",(-PMT(Refinance_Calculator!$C$13/12,Refinance_Calculator!$C$16,Full_Report!$B$86,0,0)))</f>
        <v>125.46601034901943</v>
      </c>
      <c r="D138" s="3">
        <f t="shared" si="6"/>
        <v>89.489693491188973</v>
      </c>
      <c r="E138" s="3">
        <f>IF(A138="","",(-PPMT(Refinance_Calculator!$C$13/12,Full_Report!A138,Refinance_Calculator!$C$16,Full_Report!$B$86,0,0)))</f>
        <v>35.976316857830447</v>
      </c>
      <c r="F138" s="3">
        <f t="shared" si="7"/>
        <v>13387.477706820513</v>
      </c>
      <c r="G138" s="5">
        <f t="shared" si="3"/>
        <v>1612.5222931794835</v>
      </c>
      <c r="H138" s="5">
        <f t="shared" si="4"/>
        <v>5037.1762553185472</v>
      </c>
      <c r="J138"/>
      <c r="K138"/>
      <c r="L138"/>
      <c r="M138"/>
      <c r="O138"/>
      <c r="P138"/>
      <c r="Q138"/>
    </row>
    <row r="139" spans="1:17" ht="14.4" x14ac:dyDescent="0.3">
      <c r="A139" s="1">
        <f>IF(OR(A138="",F138=0,A138=Refinance_Calculator!$C$16),"",A138+1)</f>
        <v>54</v>
      </c>
      <c r="B139" s="3">
        <f t="shared" si="5"/>
        <v>13387.477706820513</v>
      </c>
      <c r="C139" s="3">
        <f>IF(A139="","",(-PMT(Refinance_Calculator!$C$13/12,Refinance_Calculator!$C$16,Full_Report!$B$86,0,0)))</f>
        <v>125.46601034901943</v>
      </c>
      <c r="D139" s="3">
        <f t="shared" si="6"/>
        <v>89.249851378803442</v>
      </c>
      <c r="E139" s="3">
        <f>IF(A139="","",(-PPMT(Refinance_Calculator!$C$13/12,Full_Report!A139,Refinance_Calculator!$C$16,Full_Report!$B$86,0,0)))</f>
        <v>36.216158970215986</v>
      </c>
      <c r="F139" s="3">
        <f t="shared" si="7"/>
        <v>13351.261547850298</v>
      </c>
      <c r="G139" s="5">
        <f t="shared" si="3"/>
        <v>1648.7384521496995</v>
      </c>
      <c r="H139" s="5">
        <f t="shared" si="4"/>
        <v>5126.4261066973504</v>
      </c>
      <c r="J139"/>
      <c r="K139"/>
      <c r="L139"/>
      <c r="M139"/>
      <c r="O139"/>
      <c r="P139"/>
      <c r="Q139"/>
    </row>
    <row r="140" spans="1:17" ht="14.4" x14ac:dyDescent="0.3">
      <c r="A140" s="1">
        <f>IF(OR(A139="",F139=0,A139=Refinance_Calculator!$C$16),"",A139+1)</f>
        <v>55</v>
      </c>
      <c r="B140" s="3">
        <f t="shared" si="5"/>
        <v>13351.261547850298</v>
      </c>
      <c r="C140" s="3">
        <f>IF(A140="","",(-PMT(Refinance_Calculator!$C$13/12,Refinance_Calculator!$C$16,Full_Report!$B$86,0,0)))</f>
        <v>125.46601034901943</v>
      </c>
      <c r="D140" s="3">
        <f t="shared" si="6"/>
        <v>89.008410319001996</v>
      </c>
      <c r="E140" s="3">
        <f>IF(A140="","",(-PPMT(Refinance_Calculator!$C$13/12,Full_Report!A140,Refinance_Calculator!$C$16,Full_Report!$B$86,0,0)))</f>
        <v>36.457600030017424</v>
      </c>
      <c r="F140" s="3">
        <f t="shared" si="7"/>
        <v>13314.803947820281</v>
      </c>
      <c r="G140" s="5">
        <f t="shared" si="3"/>
        <v>1685.1960521797168</v>
      </c>
      <c r="H140" s="5">
        <f t="shared" si="4"/>
        <v>5215.4345170163524</v>
      </c>
      <c r="J140"/>
      <c r="K140"/>
      <c r="L140"/>
      <c r="M140"/>
      <c r="O140"/>
      <c r="P140"/>
      <c r="Q140"/>
    </row>
    <row r="141" spans="1:17" ht="14.4" x14ac:dyDescent="0.3">
      <c r="A141" s="1">
        <f>IF(OR(A140="",F140=0,A140=Refinance_Calculator!$C$16),"",A140+1)</f>
        <v>56</v>
      </c>
      <c r="B141" s="3">
        <f t="shared" si="5"/>
        <v>13314.803947820281</v>
      </c>
      <c r="C141" s="3">
        <f>IF(A141="","",(-PMT(Refinance_Calculator!$C$13/12,Refinance_Calculator!$C$16,Full_Report!$B$86,0,0)))</f>
        <v>125.46601034901943</v>
      </c>
      <c r="D141" s="3">
        <f t="shared" si="6"/>
        <v>88.765359652135231</v>
      </c>
      <c r="E141" s="3">
        <f>IF(A141="","",(-PPMT(Refinance_Calculator!$C$13/12,Full_Report!A141,Refinance_Calculator!$C$16,Full_Report!$B$86,0,0)))</f>
        <v>36.700650696884203</v>
      </c>
      <c r="F141" s="3">
        <f t="shared" si="7"/>
        <v>13278.103297123396</v>
      </c>
      <c r="G141" s="5">
        <f t="shared" si="3"/>
        <v>1721.896702876601</v>
      </c>
      <c r="H141" s="5">
        <f t="shared" si="4"/>
        <v>5304.1998766684874</v>
      </c>
      <c r="J141"/>
      <c r="K141"/>
      <c r="L141"/>
      <c r="M141"/>
      <c r="O141"/>
      <c r="P141"/>
      <c r="Q141"/>
    </row>
    <row r="142" spans="1:17" ht="14.4" x14ac:dyDescent="0.3">
      <c r="A142" s="1">
        <f>IF(OR(A141="",F141=0,A141=Refinance_Calculator!$C$16),"",A141+1)</f>
        <v>57</v>
      </c>
      <c r="B142" s="3">
        <f t="shared" si="5"/>
        <v>13278.103297123396</v>
      </c>
      <c r="C142" s="3">
        <f>IF(A142="","",(-PMT(Refinance_Calculator!$C$13/12,Refinance_Calculator!$C$16,Full_Report!$B$86,0,0)))</f>
        <v>125.46601034901943</v>
      </c>
      <c r="D142" s="3">
        <f t="shared" si="6"/>
        <v>88.520688647489322</v>
      </c>
      <c r="E142" s="3">
        <f>IF(A142="","",(-PPMT(Refinance_Calculator!$C$13/12,Full_Report!A142,Refinance_Calculator!$C$16,Full_Report!$B$86,0,0)))</f>
        <v>36.945321701530098</v>
      </c>
      <c r="F142" s="3">
        <f t="shared" si="7"/>
        <v>13241.157975421866</v>
      </c>
      <c r="G142" s="5">
        <f t="shared" si="3"/>
        <v>1758.842024578131</v>
      </c>
      <c r="H142" s="5">
        <f t="shared" si="4"/>
        <v>5392.7205653159763</v>
      </c>
      <c r="J142"/>
      <c r="K142"/>
      <c r="L142"/>
      <c r="M142"/>
      <c r="O142"/>
      <c r="P142"/>
      <c r="Q142"/>
    </row>
    <row r="143" spans="1:17" ht="14.4" x14ac:dyDescent="0.3">
      <c r="A143" s="1">
        <f>IF(OR(A142="",F142=0,A142=Refinance_Calculator!$C$16),"",A142+1)</f>
        <v>58</v>
      </c>
      <c r="B143" s="3">
        <f t="shared" si="5"/>
        <v>13241.157975421866</v>
      </c>
      <c r="C143" s="3">
        <f>IF(A143="","",(-PMT(Refinance_Calculator!$C$13/12,Refinance_Calculator!$C$16,Full_Report!$B$86,0,0)))</f>
        <v>125.46601034901943</v>
      </c>
      <c r="D143" s="3">
        <f t="shared" si="6"/>
        <v>88.274386502812462</v>
      </c>
      <c r="E143" s="3">
        <f>IF(A143="","",(-PPMT(Refinance_Calculator!$C$13/12,Full_Report!A143,Refinance_Calculator!$C$16,Full_Report!$B$86,0,0)))</f>
        <v>37.191623846206966</v>
      </c>
      <c r="F143" s="3">
        <f t="shared" si="7"/>
        <v>13203.966351575658</v>
      </c>
      <c r="G143" s="5">
        <f t="shared" si="3"/>
        <v>1796.033648424338</v>
      </c>
      <c r="H143" s="5">
        <f t="shared" si="4"/>
        <v>5480.9949518187886</v>
      </c>
      <c r="J143"/>
      <c r="K143"/>
      <c r="L143"/>
      <c r="M143"/>
      <c r="O143"/>
      <c r="P143"/>
      <c r="Q143"/>
    </row>
    <row r="144" spans="1:17" ht="14.4" x14ac:dyDescent="0.3">
      <c r="A144" s="1">
        <f>IF(OR(A143="",F143=0,A143=Refinance_Calculator!$C$16),"",A143+1)</f>
        <v>59</v>
      </c>
      <c r="B144" s="3">
        <f t="shared" si="5"/>
        <v>13203.966351575658</v>
      </c>
      <c r="C144" s="3">
        <f>IF(A144="","",(-PMT(Refinance_Calculator!$C$13/12,Refinance_Calculator!$C$16,Full_Report!$B$86,0,0)))</f>
        <v>125.46601034901943</v>
      </c>
      <c r="D144" s="3">
        <f t="shared" si="6"/>
        <v>88.026442343837743</v>
      </c>
      <c r="E144" s="3">
        <f>IF(A144="","",(-PPMT(Refinance_Calculator!$C$13/12,Full_Report!A144,Refinance_Calculator!$C$16,Full_Report!$B$86,0,0)))</f>
        <v>37.439568005181684</v>
      </c>
      <c r="F144" s="3">
        <f t="shared" si="7"/>
        <v>13166.526783570476</v>
      </c>
      <c r="G144" s="5">
        <f t="shared" si="3"/>
        <v>1833.4732164295197</v>
      </c>
      <c r="H144" s="5">
        <f t="shared" si="4"/>
        <v>5569.0213941626262</v>
      </c>
      <c r="J144"/>
      <c r="K144"/>
      <c r="L144"/>
      <c r="M144"/>
      <c r="O144"/>
      <c r="P144"/>
      <c r="Q144"/>
    </row>
    <row r="145" spans="1:17" ht="14.4" x14ac:dyDescent="0.3">
      <c r="A145" s="1">
        <f>IF(OR(A144="",F144=0,A144=Refinance_Calculator!$C$16),"",A144+1)</f>
        <v>60</v>
      </c>
      <c r="B145" s="3">
        <f t="shared" si="5"/>
        <v>13166.526783570476</v>
      </c>
      <c r="C145" s="3">
        <f>IF(A145="","",(-PMT(Refinance_Calculator!$C$13/12,Refinance_Calculator!$C$16,Full_Report!$B$86,0,0)))</f>
        <v>125.46601034901943</v>
      </c>
      <c r="D145" s="3">
        <f t="shared" si="6"/>
        <v>87.776845223803207</v>
      </c>
      <c r="E145" s="3">
        <f>IF(A145="","",(-PPMT(Refinance_Calculator!$C$13/12,Full_Report!A145,Refinance_Calculator!$C$16,Full_Report!$B$86,0,0)))</f>
        <v>37.689165125216228</v>
      </c>
      <c r="F145" s="3">
        <f t="shared" si="7"/>
        <v>13128.837618445261</v>
      </c>
      <c r="G145" s="5">
        <f t="shared" si="3"/>
        <v>1871.1623815547359</v>
      </c>
      <c r="H145" s="5">
        <f t="shared" si="4"/>
        <v>5656.7982393864295</v>
      </c>
      <c r="J145"/>
      <c r="K145"/>
      <c r="L145"/>
      <c r="M145"/>
      <c r="O145"/>
      <c r="P145"/>
      <c r="Q145"/>
    </row>
    <row r="146" spans="1:17" ht="14.4" x14ac:dyDescent="0.3">
      <c r="A146" s="1">
        <f>IF(OR(A145="",F145=0,A145=Refinance_Calculator!$C$16),"",A145+1)</f>
        <v>61</v>
      </c>
      <c r="B146" s="3">
        <f t="shared" si="5"/>
        <v>13128.837618445261</v>
      </c>
      <c r="C146" s="3">
        <f>IF(A146="","",(-PMT(Refinance_Calculator!$C$13/12,Refinance_Calculator!$C$16,Full_Report!$B$86,0,0)))</f>
        <v>125.46601034901943</v>
      </c>
      <c r="D146" s="3">
        <f t="shared" si="6"/>
        <v>87.525584122968425</v>
      </c>
      <c r="E146" s="3">
        <f>IF(A146="","",(-PPMT(Refinance_Calculator!$C$13/12,Full_Report!A146,Refinance_Calculator!$C$16,Full_Report!$B$86,0,0)))</f>
        <v>37.940426226051002</v>
      </c>
      <c r="F146" s="3">
        <f t="shared" si="7"/>
        <v>13090.89719221921</v>
      </c>
      <c r="G146" s="5">
        <f t="shared" si="3"/>
        <v>1909.1028077807869</v>
      </c>
      <c r="H146" s="5">
        <f t="shared" si="4"/>
        <v>5744.3238235093977</v>
      </c>
      <c r="J146"/>
      <c r="K146"/>
      <c r="L146"/>
      <c r="M146"/>
      <c r="O146"/>
      <c r="P146"/>
      <c r="Q146"/>
    </row>
    <row r="147" spans="1:17" ht="14.4" x14ac:dyDescent="0.3">
      <c r="A147" s="1">
        <f>IF(OR(A146="",F146=0,A146=Refinance_Calculator!$C$16),"",A146+1)</f>
        <v>62</v>
      </c>
      <c r="B147" s="3">
        <f t="shared" si="5"/>
        <v>13090.89719221921</v>
      </c>
      <c r="C147" s="3">
        <f>IF(A147="","",(-PMT(Refinance_Calculator!$C$13/12,Refinance_Calculator!$C$16,Full_Report!$B$86,0,0)))</f>
        <v>125.46601034901943</v>
      </c>
      <c r="D147" s="3">
        <f t="shared" si="6"/>
        <v>87.272647948128082</v>
      </c>
      <c r="E147" s="3">
        <f>IF(A147="","",(-PPMT(Refinance_Calculator!$C$13/12,Full_Report!A147,Refinance_Calculator!$C$16,Full_Report!$B$86,0,0)))</f>
        <v>38.193362400891338</v>
      </c>
      <c r="F147" s="3">
        <f t="shared" si="7"/>
        <v>13052.70382981832</v>
      </c>
      <c r="G147" s="5">
        <f t="shared" si="3"/>
        <v>1947.2961701816782</v>
      </c>
      <c r="H147" s="5">
        <f t="shared" si="4"/>
        <v>5831.5964714575257</v>
      </c>
      <c r="J147"/>
      <c r="K147"/>
      <c r="L147"/>
      <c r="M147"/>
      <c r="O147"/>
      <c r="P147"/>
      <c r="Q147"/>
    </row>
    <row r="148" spans="1:17" ht="14.4" x14ac:dyDescent="0.3">
      <c r="A148" s="1">
        <f>IF(OR(A147="",F147=0,A147=Refinance_Calculator!$C$16),"",A147+1)</f>
        <v>63</v>
      </c>
      <c r="B148" s="3">
        <f t="shared" si="5"/>
        <v>13052.70382981832</v>
      </c>
      <c r="C148" s="3">
        <f>IF(A148="","",(-PMT(Refinance_Calculator!$C$13/12,Refinance_Calculator!$C$16,Full_Report!$B$86,0,0)))</f>
        <v>125.46601034901943</v>
      </c>
      <c r="D148" s="3">
        <f t="shared" si="6"/>
        <v>87.018025532122152</v>
      </c>
      <c r="E148" s="3">
        <f>IF(A148="","",(-PPMT(Refinance_Calculator!$C$13/12,Full_Report!A148,Refinance_Calculator!$C$16,Full_Report!$B$86,0,0)))</f>
        <v>38.447984816897282</v>
      </c>
      <c r="F148" s="3">
        <f t="shared" si="7"/>
        <v>13014.255845001422</v>
      </c>
      <c r="G148" s="5">
        <f t="shared" si="3"/>
        <v>1985.7441549985756</v>
      </c>
      <c r="H148" s="5">
        <f t="shared" si="4"/>
        <v>5918.6144969896477</v>
      </c>
      <c r="J148"/>
      <c r="K148"/>
      <c r="L148"/>
      <c r="M148"/>
      <c r="O148"/>
      <c r="P148"/>
      <c r="Q148"/>
    </row>
    <row r="149" spans="1:17" ht="14.4" x14ac:dyDescent="0.3">
      <c r="A149" s="1">
        <f>IF(OR(A148="",F148=0,A148=Refinance_Calculator!$C$16),"",A148+1)</f>
        <v>64</v>
      </c>
      <c r="B149" s="3">
        <f t="shared" si="5"/>
        <v>13014.255845001422</v>
      </c>
      <c r="C149" s="3">
        <f>IF(A149="","",(-PMT(Refinance_Calculator!$C$13/12,Refinance_Calculator!$C$16,Full_Report!$B$86,0,0)))</f>
        <v>125.46601034901943</v>
      </c>
      <c r="D149" s="3">
        <f t="shared" si="6"/>
        <v>86.761705633342842</v>
      </c>
      <c r="E149" s="3">
        <f>IF(A149="","",(-PPMT(Refinance_Calculator!$C$13/12,Full_Report!A149,Refinance_Calculator!$C$16,Full_Report!$B$86,0,0)))</f>
        <v>38.704304715676592</v>
      </c>
      <c r="F149" s="3">
        <f t="shared" si="7"/>
        <v>12975.551540285745</v>
      </c>
      <c r="G149" s="5">
        <f t="shared" si="3"/>
        <v>2024.4484597142523</v>
      </c>
      <c r="H149" s="5">
        <f t="shared" si="4"/>
        <v>6005.3762026229906</v>
      </c>
      <c r="J149"/>
      <c r="K149"/>
      <c r="L149"/>
      <c r="M149"/>
      <c r="O149"/>
      <c r="P149"/>
      <c r="Q149"/>
    </row>
    <row r="150" spans="1:17" ht="14.4" x14ac:dyDescent="0.3">
      <c r="A150" s="1">
        <f>IF(OR(A149="",F149=0,A149=Refinance_Calculator!$C$16),"",A149+1)</f>
        <v>65</v>
      </c>
      <c r="B150" s="3">
        <f t="shared" si="5"/>
        <v>12975.551540285745</v>
      </c>
      <c r="C150" s="3">
        <f>IF(A150="","",(-PMT(Refinance_Calculator!$C$13/12,Refinance_Calculator!$C$16,Full_Report!$B$86,0,0)))</f>
        <v>125.46601034901943</v>
      </c>
      <c r="D150" s="3">
        <f t="shared" si="6"/>
        <v>86.503676935238332</v>
      </c>
      <c r="E150" s="3">
        <f>IF(A150="","",(-PPMT(Refinance_Calculator!$C$13/12,Full_Report!A150,Refinance_Calculator!$C$16,Full_Report!$B$86,0,0)))</f>
        <v>38.962333413781103</v>
      </c>
      <c r="F150" s="3">
        <f t="shared" si="7"/>
        <v>12936.589206871964</v>
      </c>
      <c r="G150" s="5">
        <f t="shared" si="3"/>
        <v>2063.4107931280332</v>
      </c>
      <c r="H150" s="5">
        <f t="shared" si="4"/>
        <v>6091.8798795582288</v>
      </c>
      <c r="J150"/>
      <c r="K150"/>
      <c r="L150"/>
      <c r="M150"/>
      <c r="O150"/>
      <c r="P150"/>
      <c r="Q150"/>
    </row>
    <row r="151" spans="1:17" ht="14.4" x14ac:dyDescent="0.3">
      <c r="A151" s="1">
        <f>IF(OR(A150="",F150=0,A150=Refinance_Calculator!$C$16),"",A150+1)</f>
        <v>66</v>
      </c>
      <c r="B151" s="3">
        <f t="shared" si="5"/>
        <v>12936.589206871964</v>
      </c>
      <c r="C151" s="3">
        <f>IF(A151="","",(-PMT(Refinance_Calculator!$C$13/12,Refinance_Calculator!$C$16,Full_Report!$B$86,0,0)))</f>
        <v>125.46601034901943</v>
      </c>
      <c r="D151" s="3">
        <f t="shared" si="6"/>
        <v>86.243928045813107</v>
      </c>
      <c r="E151" s="3">
        <f>IF(A151="","",(-PPMT(Refinance_Calculator!$C$13/12,Full_Report!A151,Refinance_Calculator!$C$16,Full_Report!$B$86,0,0)))</f>
        <v>39.222082303206321</v>
      </c>
      <c r="F151" s="3">
        <f t="shared" si="7"/>
        <v>12897.367124568758</v>
      </c>
      <c r="G151" s="5">
        <f t="shared" si="3"/>
        <v>2102.6328754312394</v>
      </c>
      <c r="H151" s="5">
        <f t="shared" si="4"/>
        <v>6178.1238076040418</v>
      </c>
      <c r="J151"/>
      <c r="K151"/>
      <c r="L151"/>
      <c r="M151"/>
      <c r="O151"/>
      <c r="P151"/>
      <c r="Q151"/>
    </row>
    <row r="152" spans="1:17" ht="14.4" x14ac:dyDescent="0.3">
      <c r="A152" s="1">
        <f>IF(OR(A151="",F151=0,A151=Refinance_Calculator!$C$16),"",A151+1)</f>
        <v>67</v>
      </c>
      <c r="B152" s="3">
        <f t="shared" si="5"/>
        <v>12897.367124568758</v>
      </c>
      <c r="C152" s="3">
        <f>IF(A152="","",(-PMT(Refinance_Calculator!$C$13/12,Refinance_Calculator!$C$16,Full_Report!$B$86,0,0)))</f>
        <v>125.46601034901943</v>
      </c>
      <c r="D152" s="3">
        <f t="shared" si="6"/>
        <v>85.982447497125065</v>
      </c>
      <c r="E152" s="3">
        <f>IF(A152="","",(-PPMT(Refinance_Calculator!$C$13/12,Full_Report!A152,Refinance_Calculator!$C$16,Full_Report!$B$86,0,0)))</f>
        <v>39.483562851894355</v>
      </c>
      <c r="F152" s="3">
        <f t="shared" si="7"/>
        <v>12857.883561716864</v>
      </c>
      <c r="G152" s="5">
        <f t="shared" ref="G152:G215" si="8">+IF(A152="","",(E152+G151))</f>
        <v>2142.1164382831339</v>
      </c>
      <c r="H152" s="5">
        <f t="shared" ref="H152:H215" si="9">+IF(B152="","",(D152+H151))</f>
        <v>6264.1062551011664</v>
      </c>
      <c r="J152"/>
      <c r="K152"/>
      <c r="L152"/>
      <c r="M152"/>
      <c r="O152"/>
      <c r="P152"/>
      <c r="Q152"/>
    </row>
    <row r="153" spans="1:17" ht="14.4" x14ac:dyDescent="0.3">
      <c r="A153" s="1">
        <f>IF(OR(A152="",F152=0,A152=Refinance_Calculator!$C$16),"",A152+1)</f>
        <v>68</v>
      </c>
      <c r="B153" s="3">
        <f t="shared" si="5"/>
        <v>12857.883561716864</v>
      </c>
      <c r="C153" s="3">
        <f>IF(A153="","",(-PMT(Refinance_Calculator!$C$13/12,Refinance_Calculator!$C$16,Full_Report!$B$86,0,0)))</f>
        <v>125.46601034901943</v>
      </c>
      <c r="D153" s="3">
        <f t="shared" si="6"/>
        <v>85.7192237447791</v>
      </c>
      <c r="E153" s="3">
        <f>IF(A153="","",(-PPMT(Refinance_Calculator!$C$13/12,Full_Report!A153,Refinance_Calculator!$C$16,Full_Report!$B$86,0,0)))</f>
        <v>39.74678660424032</v>
      </c>
      <c r="F153" s="3">
        <f t="shared" si="7"/>
        <v>12818.136775112624</v>
      </c>
      <c r="G153" s="5">
        <f t="shared" si="8"/>
        <v>2181.8632248873741</v>
      </c>
      <c r="H153" s="5">
        <f t="shared" si="9"/>
        <v>6349.8254788459453</v>
      </c>
      <c r="J153"/>
      <c r="K153"/>
      <c r="L153"/>
      <c r="M153"/>
      <c r="O153"/>
      <c r="P153"/>
      <c r="Q153"/>
    </row>
    <row r="154" spans="1:17" ht="14.4" x14ac:dyDescent="0.3">
      <c r="A154" s="1">
        <f>IF(OR(A153="",F153=0,A153=Refinance_Calculator!$C$16),"",A153+1)</f>
        <v>69</v>
      </c>
      <c r="B154" s="3">
        <f t="shared" si="5"/>
        <v>12818.136775112624</v>
      </c>
      <c r="C154" s="3">
        <f>IF(A154="","",(-PMT(Refinance_Calculator!$C$13/12,Refinance_Calculator!$C$16,Full_Report!$B$86,0,0)))</f>
        <v>125.46601034901943</v>
      </c>
      <c r="D154" s="3">
        <f t="shared" si="6"/>
        <v>85.454245167417497</v>
      </c>
      <c r="E154" s="3">
        <f>IF(A154="","",(-PPMT(Refinance_Calculator!$C$13/12,Full_Report!A154,Refinance_Calculator!$C$16,Full_Report!$B$86,0,0)))</f>
        <v>40.011765181601923</v>
      </c>
      <c r="F154" s="3">
        <f t="shared" si="7"/>
        <v>12778.125009931022</v>
      </c>
      <c r="G154" s="5">
        <f t="shared" si="8"/>
        <v>2221.8749900689759</v>
      </c>
      <c r="H154" s="5">
        <f t="shared" si="9"/>
        <v>6435.2797240133632</v>
      </c>
      <c r="J154"/>
      <c r="K154"/>
      <c r="L154"/>
      <c r="M154"/>
      <c r="O154"/>
      <c r="P154"/>
      <c r="Q154"/>
    </row>
    <row r="155" spans="1:17" ht="14.4" x14ac:dyDescent="0.3">
      <c r="A155" s="1">
        <f>IF(OR(A154="",F154=0,A154=Refinance_Calculator!$C$16),"",A154+1)</f>
        <v>70</v>
      </c>
      <c r="B155" s="3">
        <f t="shared" si="5"/>
        <v>12778.125009931022</v>
      </c>
      <c r="C155" s="3">
        <f>IF(A155="","",(-PMT(Refinance_Calculator!$C$13/12,Refinance_Calculator!$C$16,Full_Report!$B$86,0,0)))</f>
        <v>125.46601034901943</v>
      </c>
      <c r="D155" s="3">
        <f t="shared" si="6"/>
        <v>85.187500066206837</v>
      </c>
      <c r="E155" s="3">
        <f>IF(A155="","",(-PPMT(Refinance_Calculator!$C$13/12,Full_Report!A155,Refinance_Calculator!$C$16,Full_Report!$B$86,0,0)))</f>
        <v>40.278510282812597</v>
      </c>
      <c r="F155" s="3">
        <f t="shared" si="7"/>
        <v>12737.846499648209</v>
      </c>
      <c r="G155" s="5">
        <f t="shared" si="8"/>
        <v>2262.1535003517884</v>
      </c>
      <c r="H155" s="5">
        <f t="shared" si="9"/>
        <v>6520.4672240795699</v>
      </c>
      <c r="J155"/>
      <c r="K155"/>
      <c r="L155"/>
      <c r="M155"/>
      <c r="O155"/>
      <c r="P155"/>
      <c r="Q155"/>
    </row>
    <row r="156" spans="1:17" ht="14.4" x14ac:dyDescent="0.3">
      <c r="A156" s="1">
        <f>IF(OR(A155="",F155=0,A155=Refinance_Calculator!$C$16),"",A155+1)</f>
        <v>71</v>
      </c>
      <c r="B156" s="3">
        <f t="shared" si="5"/>
        <v>12737.846499648209</v>
      </c>
      <c r="C156" s="3">
        <f>IF(A156="","",(-PMT(Refinance_Calculator!$C$13/12,Refinance_Calculator!$C$16,Full_Report!$B$86,0,0)))</f>
        <v>125.46601034901943</v>
      </c>
      <c r="D156" s="3">
        <f t="shared" si="6"/>
        <v>84.918976664321406</v>
      </c>
      <c r="E156" s="3">
        <f>IF(A156="","",(-PPMT(Refinance_Calculator!$C$13/12,Full_Report!A156,Refinance_Calculator!$C$16,Full_Report!$B$86,0,0)))</f>
        <v>40.547033684698015</v>
      </c>
      <c r="F156" s="3">
        <f t="shared" si="7"/>
        <v>12697.299465963511</v>
      </c>
      <c r="G156" s="5">
        <f t="shared" si="8"/>
        <v>2302.7005340364863</v>
      </c>
      <c r="H156" s="5">
        <f t="shared" si="9"/>
        <v>6605.3862007438911</v>
      </c>
      <c r="J156"/>
      <c r="K156"/>
      <c r="L156"/>
      <c r="M156"/>
      <c r="O156"/>
      <c r="P156"/>
      <c r="Q156"/>
    </row>
    <row r="157" spans="1:17" ht="14.4" x14ac:dyDescent="0.3">
      <c r="A157" s="1">
        <f>IF(OR(A156="",F156=0,A156=Refinance_Calculator!$C$16),"",A156+1)</f>
        <v>72</v>
      </c>
      <c r="B157" s="3">
        <f t="shared" si="5"/>
        <v>12697.299465963511</v>
      </c>
      <c r="C157" s="3">
        <f>IF(A157="","",(-PMT(Refinance_Calculator!$C$13/12,Refinance_Calculator!$C$16,Full_Report!$B$86,0,0)))</f>
        <v>125.46601034901943</v>
      </c>
      <c r="D157" s="3">
        <f t="shared" si="6"/>
        <v>84.648663106423413</v>
      </c>
      <c r="E157" s="3">
        <f>IF(A157="","",(-PPMT(Refinance_Calculator!$C$13/12,Full_Report!A157,Refinance_Calculator!$C$16,Full_Report!$B$86,0,0)))</f>
        <v>40.817347242596007</v>
      </c>
      <c r="F157" s="3">
        <f t="shared" si="7"/>
        <v>12656.482118720916</v>
      </c>
      <c r="G157" s="5">
        <f t="shared" si="8"/>
        <v>2343.5178812790823</v>
      </c>
      <c r="H157" s="5">
        <f t="shared" si="9"/>
        <v>6690.0348638503147</v>
      </c>
      <c r="J157"/>
      <c r="K157"/>
      <c r="L157"/>
      <c r="M157"/>
      <c r="O157"/>
      <c r="P157"/>
      <c r="Q157"/>
    </row>
    <row r="158" spans="1:17" ht="14.4" x14ac:dyDescent="0.3">
      <c r="A158" s="1">
        <f>IF(OR(A157="",F157=0,A157=Refinance_Calculator!$C$16),"",A157+1)</f>
        <v>73</v>
      </c>
      <c r="B158" s="3">
        <f t="shared" si="5"/>
        <v>12656.482118720916</v>
      </c>
      <c r="C158" s="3">
        <f>IF(A158="","",(-PMT(Refinance_Calculator!$C$13/12,Refinance_Calculator!$C$16,Full_Report!$B$86,0,0)))</f>
        <v>125.46601034901943</v>
      </c>
      <c r="D158" s="3">
        <f t="shared" si="6"/>
        <v>84.376547458139441</v>
      </c>
      <c r="E158" s="3">
        <f>IF(A158="","",(-PPMT(Refinance_Calculator!$C$13/12,Full_Report!A158,Refinance_Calculator!$C$16,Full_Report!$B$86,0,0)))</f>
        <v>41.089462890879979</v>
      </c>
      <c r="F158" s="3">
        <f t="shared" si="7"/>
        <v>12615.392655830037</v>
      </c>
      <c r="G158" s="5">
        <f t="shared" si="8"/>
        <v>2384.6073441699623</v>
      </c>
      <c r="H158" s="5">
        <f t="shared" si="9"/>
        <v>6774.4114113084543</v>
      </c>
      <c r="J158"/>
      <c r="K158"/>
      <c r="L158"/>
      <c r="M158"/>
      <c r="O158"/>
      <c r="P158"/>
      <c r="Q158"/>
    </row>
    <row r="159" spans="1:17" ht="14.4" x14ac:dyDescent="0.3">
      <c r="A159" s="1">
        <f>IF(OR(A158="",F158=0,A158=Refinance_Calculator!$C$16),"",A158+1)</f>
        <v>74</v>
      </c>
      <c r="B159" s="3">
        <f t="shared" si="5"/>
        <v>12615.392655830037</v>
      </c>
      <c r="C159" s="3">
        <f>IF(A159="","",(-PMT(Refinance_Calculator!$C$13/12,Refinance_Calculator!$C$16,Full_Report!$B$86,0,0)))</f>
        <v>125.46601034901943</v>
      </c>
      <c r="D159" s="3">
        <f t="shared" si="6"/>
        <v>84.102617705533589</v>
      </c>
      <c r="E159" s="3">
        <f>IF(A159="","",(-PPMT(Refinance_Calculator!$C$13/12,Full_Report!A159,Refinance_Calculator!$C$16,Full_Report!$B$86,0,0)))</f>
        <v>41.363392643485845</v>
      </c>
      <c r="F159" s="3">
        <f t="shared" si="7"/>
        <v>12574.029263186552</v>
      </c>
      <c r="G159" s="5">
        <f t="shared" si="8"/>
        <v>2425.9707368134482</v>
      </c>
      <c r="H159" s="5">
        <f t="shared" si="9"/>
        <v>6858.514029013988</v>
      </c>
      <c r="J159"/>
      <c r="K159"/>
      <c r="L159"/>
      <c r="M159"/>
      <c r="O159"/>
      <c r="P159"/>
      <c r="Q159"/>
    </row>
    <row r="160" spans="1:17" ht="14.4" x14ac:dyDescent="0.3">
      <c r="A160" s="1">
        <f>IF(OR(A159="",F159=0,A159=Refinance_Calculator!$C$16),"",A159+1)</f>
        <v>75</v>
      </c>
      <c r="B160" s="3">
        <f t="shared" si="5"/>
        <v>12574.029263186552</v>
      </c>
      <c r="C160" s="3">
        <f>IF(A160="","",(-PMT(Refinance_Calculator!$C$13/12,Refinance_Calculator!$C$16,Full_Report!$B$86,0,0)))</f>
        <v>125.46601034901943</v>
      </c>
      <c r="D160" s="3">
        <f t="shared" si="6"/>
        <v>83.82686175457701</v>
      </c>
      <c r="E160" s="3">
        <f>IF(A160="","",(-PPMT(Refinance_Calculator!$C$13/12,Full_Report!A160,Refinance_Calculator!$C$16,Full_Report!$B$86,0,0)))</f>
        <v>41.639148594442418</v>
      </c>
      <c r="F160" s="3">
        <f t="shared" si="7"/>
        <v>12532.39011459211</v>
      </c>
      <c r="G160" s="5">
        <f t="shared" si="8"/>
        <v>2467.6098854078905</v>
      </c>
      <c r="H160" s="5">
        <f t="shared" si="9"/>
        <v>6942.3408907685653</v>
      </c>
      <c r="J160"/>
      <c r="K160"/>
      <c r="L160"/>
      <c r="M160"/>
      <c r="O160"/>
      <c r="P160"/>
      <c r="Q160"/>
    </row>
    <row r="161" spans="1:17" ht="14.4" x14ac:dyDescent="0.3">
      <c r="A161" s="1">
        <f>IF(OR(A160="",F160=0,A160=Refinance_Calculator!$C$16),"",A160+1)</f>
        <v>76</v>
      </c>
      <c r="B161" s="3">
        <f t="shared" si="5"/>
        <v>12532.39011459211</v>
      </c>
      <c r="C161" s="3">
        <f>IF(A161="","",(-PMT(Refinance_Calculator!$C$13/12,Refinance_Calculator!$C$16,Full_Report!$B$86,0,0)))</f>
        <v>125.46601034901943</v>
      </c>
      <c r="D161" s="3">
        <f t="shared" si="6"/>
        <v>83.549267430614066</v>
      </c>
      <c r="E161" s="3">
        <f>IF(A161="","",(-PPMT(Refinance_Calculator!$C$13/12,Full_Report!A161,Refinance_Calculator!$C$16,Full_Report!$B$86,0,0)))</f>
        <v>41.916742918405362</v>
      </c>
      <c r="F161" s="3">
        <f t="shared" si="7"/>
        <v>12490.473371673705</v>
      </c>
      <c r="G161" s="5">
        <f t="shared" si="8"/>
        <v>2509.5266283262958</v>
      </c>
      <c r="H161" s="5">
        <f t="shared" si="9"/>
        <v>7025.8901581991795</v>
      </c>
      <c r="J161"/>
      <c r="K161"/>
      <c r="L161"/>
      <c r="M161"/>
      <c r="O161"/>
      <c r="P161"/>
      <c r="Q161"/>
    </row>
    <row r="162" spans="1:17" ht="14.4" x14ac:dyDescent="0.3">
      <c r="A162" s="1">
        <f>IF(OR(A161="",F161=0,A161=Refinance_Calculator!$C$16),"",A161+1)</f>
        <v>77</v>
      </c>
      <c r="B162" s="3">
        <f t="shared" ref="B162:B225" si="10">IF(A162="","",(F161))</f>
        <v>12490.473371673705</v>
      </c>
      <c r="C162" s="3">
        <f>IF(A162="","",(-PMT(Refinance_Calculator!$C$13/12,Refinance_Calculator!$C$16,Full_Report!$B$86,0,0)))</f>
        <v>125.46601034901943</v>
      </c>
      <c r="D162" s="3">
        <f t="shared" ref="D162:D225" si="11">+IF(A162="","",(C162-E162))</f>
        <v>83.269822477824704</v>
      </c>
      <c r="E162" s="3">
        <f>IF(A162="","",(-PPMT(Refinance_Calculator!$C$13/12,Full_Report!A162,Refinance_Calculator!$C$16,Full_Report!$B$86,0,0)))</f>
        <v>42.196187871194731</v>
      </c>
      <c r="F162" s="3">
        <f t="shared" ref="F162:F225" si="12">IF(A162="","",(B162-E162))</f>
        <v>12448.277183802509</v>
      </c>
      <c r="G162" s="5">
        <f t="shared" si="8"/>
        <v>2551.7228161974904</v>
      </c>
      <c r="H162" s="5">
        <f t="shared" si="9"/>
        <v>7109.1599806770046</v>
      </c>
      <c r="J162"/>
      <c r="K162"/>
      <c r="L162"/>
      <c r="M162"/>
      <c r="O162"/>
      <c r="P162"/>
      <c r="Q162"/>
    </row>
    <row r="163" spans="1:17" ht="14.4" x14ac:dyDescent="0.3">
      <c r="A163" s="1">
        <f>IF(OR(A162="",F162=0,A162=Refinance_Calculator!$C$16),"",A162+1)</f>
        <v>78</v>
      </c>
      <c r="B163" s="3">
        <f t="shared" si="10"/>
        <v>12448.277183802509</v>
      </c>
      <c r="C163" s="3">
        <f>IF(A163="","",(-PMT(Refinance_Calculator!$C$13/12,Refinance_Calculator!$C$16,Full_Report!$B$86,0,0)))</f>
        <v>125.46601034901943</v>
      </c>
      <c r="D163" s="3">
        <f t="shared" si="11"/>
        <v>82.988514558683391</v>
      </c>
      <c r="E163" s="3">
        <f>IF(A163="","",(-PPMT(Refinance_Calculator!$C$13/12,Full_Report!A163,Refinance_Calculator!$C$16,Full_Report!$B$86,0,0)))</f>
        <v>42.477495790336043</v>
      </c>
      <c r="F163" s="3">
        <f t="shared" si="12"/>
        <v>12405.799688012174</v>
      </c>
      <c r="G163" s="5">
        <f t="shared" si="8"/>
        <v>2594.2003119878264</v>
      </c>
      <c r="H163" s="5">
        <f t="shared" si="9"/>
        <v>7192.1484952356877</v>
      </c>
      <c r="J163"/>
      <c r="K163"/>
      <c r="L163"/>
      <c r="M163"/>
      <c r="O163"/>
      <c r="P163"/>
      <c r="Q163"/>
    </row>
    <row r="164" spans="1:17" ht="14.4" x14ac:dyDescent="0.3">
      <c r="A164" s="1">
        <f>IF(OR(A163="",F163=0,A163=Refinance_Calculator!$C$16),"",A163+1)</f>
        <v>79</v>
      </c>
      <c r="B164" s="3">
        <f t="shared" si="10"/>
        <v>12405.799688012174</v>
      </c>
      <c r="C164" s="3">
        <f>IF(A164="","",(-PMT(Refinance_Calculator!$C$13/12,Refinance_Calculator!$C$16,Full_Report!$B$86,0,0)))</f>
        <v>125.46601034901943</v>
      </c>
      <c r="D164" s="3">
        <f t="shared" si="11"/>
        <v>82.705331253414485</v>
      </c>
      <c r="E164" s="3">
        <f>IF(A164="","",(-PPMT(Refinance_Calculator!$C$13/12,Full_Report!A164,Refinance_Calculator!$C$16,Full_Report!$B$86,0,0)))</f>
        <v>42.760679095604942</v>
      </c>
      <c r="F164" s="3">
        <f t="shared" si="12"/>
        <v>12363.039008916568</v>
      </c>
      <c r="G164" s="5">
        <f t="shared" si="8"/>
        <v>2636.9609910834315</v>
      </c>
      <c r="H164" s="5">
        <f t="shared" si="9"/>
        <v>7274.8538264891022</v>
      </c>
      <c r="J164"/>
      <c r="K164"/>
      <c r="L164"/>
      <c r="M164"/>
      <c r="O164"/>
      <c r="P164"/>
      <c r="Q164"/>
    </row>
    <row r="165" spans="1:17" ht="14.4" x14ac:dyDescent="0.3">
      <c r="A165" s="1">
        <f>IF(OR(A164="",F164=0,A164=Refinance_Calculator!$C$16),"",A164+1)</f>
        <v>80</v>
      </c>
      <c r="B165" s="3">
        <f t="shared" si="10"/>
        <v>12363.039008916568</v>
      </c>
      <c r="C165" s="3">
        <f>IF(A165="","",(-PMT(Refinance_Calculator!$C$13/12,Refinance_Calculator!$C$16,Full_Report!$B$86,0,0)))</f>
        <v>125.46601034901943</v>
      </c>
      <c r="D165" s="3">
        <f t="shared" si="11"/>
        <v>82.420260059443791</v>
      </c>
      <c r="E165" s="3">
        <f>IF(A165="","",(-PPMT(Refinance_Calculator!$C$13/12,Full_Report!A165,Refinance_Calculator!$C$16,Full_Report!$B$86,0,0)))</f>
        <v>43.045750289575643</v>
      </c>
      <c r="F165" s="3">
        <f t="shared" si="12"/>
        <v>12319.993258626993</v>
      </c>
      <c r="G165" s="5">
        <f t="shared" si="8"/>
        <v>2680.0067413730071</v>
      </c>
      <c r="H165" s="5">
        <f t="shared" si="9"/>
        <v>7357.2740865485457</v>
      </c>
      <c r="J165"/>
      <c r="K165"/>
      <c r="L165"/>
      <c r="M165"/>
      <c r="O165"/>
      <c r="P165"/>
      <c r="Q165"/>
    </row>
    <row r="166" spans="1:17" ht="14.4" x14ac:dyDescent="0.3">
      <c r="A166" s="1">
        <f>IF(OR(A165="",F165=0,A165=Refinance_Calculator!$C$16),"",A165+1)</f>
        <v>81</v>
      </c>
      <c r="B166" s="3">
        <f t="shared" si="10"/>
        <v>12319.993258626993</v>
      </c>
      <c r="C166" s="3">
        <f>IF(A166="","",(-PMT(Refinance_Calculator!$C$13/12,Refinance_Calculator!$C$16,Full_Report!$B$86,0,0)))</f>
        <v>125.46601034901943</v>
      </c>
      <c r="D166" s="3">
        <f t="shared" si="11"/>
        <v>82.133288390846616</v>
      </c>
      <c r="E166" s="3">
        <f>IF(A166="","",(-PPMT(Refinance_Calculator!$C$13/12,Full_Report!A166,Refinance_Calculator!$C$16,Full_Report!$B$86,0,0)))</f>
        <v>43.332721958172812</v>
      </c>
      <c r="F166" s="3">
        <f t="shared" si="12"/>
        <v>12276.66053666882</v>
      </c>
      <c r="G166" s="5">
        <f t="shared" si="8"/>
        <v>2723.33946333118</v>
      </c>
      <c r="H166" s="5">
        <f t="shared" si="9"/>
        <v>7439.407374939392</v>
      </c>
      <c r="J166"/>
      <c r="K166"/>
      <c r="L166"/>
      <c r="M166"/>
      <c r="O166"/>
      <c r="P166"/>
      <c r="Q166"/>
    </row>
    <row r="167" spans="1:17" ht="14.4" x14ac:dyDescent="0.3">
      <c r="A167" s="1">
        <f>IF(OR(A166="",F166=0,A166=Refinance_Calculator!$C$16),"",A166+1)</f>
        <v>82</v>
      </c>
      <c r="B167" s="3">
        <f t="shared" si="10"/>
        <v>12276.66053666882</v>
      </c>
      <c r="C167" s="3">
        <f>IF(A167="","",(-PMT(Refinance_Calculator!$C$13/12,Refinance_Calculator!$C$16,Full_Report!$B$86,0,0)))</f>
        <v>125.46601034901943</v>
      </c>
      <c r="D167" s="3">
        <f t="shared" si="11"/>
        <v>81.844403577792136</v>
      </c>
      <c r="E167" s="3">
        <f>IF(A167="","",(-PPMT(Refinance_Calculator!$C$13/12,Full_Report!A167,Refinance_Calculator!$C$16,Full_Report!$B$86,0,0)))</f>
        <v>43.621606771227292</v>
      </c>
      <c r="F167" s="3">
        <f t="shared" si="12"/>
        <v>12233.038929897593</v>
      </c>
      <c r="G167" s="5">
        <f t="shared" si="8"/>
        <v>2766.9610701024071</v>
      </c>
      <c r="H167" s="5">
        <f t="shared" si="9"/>
        <v>7521.251778517184</v>
      </c>
      <c r="J167"/>
      <c r="K167"/>
      <c r="L167"/>
      <c r="M167"/>
      <c r="O167"/>
      <c r="P167"/>
      <c r="Q167"/>
    </row>
    <row r="168" spans="1:17" ht="14.4" x14ac:dyDescent="0.3">
      <c r="A168" s="1">
        <f>IF(OR(A167="",F167=0,A167=Refinance_Calculator!$C$16),"",A167+1)</f>
        <v>83</v>
      </c>
      <c r="B168" s="3">
        <f t="shared" si="10"/>
        <v>12233.038929897593</v>
      </c>
      <c r="C168" s="3">
        <f>IF(A168="","",(-PMT(Refinance_Calculator!$C$13/12,Refinance_Calculator!$C$16,Full_Report!$B$86,0,0)))</f>
        <v>125.46601034901943</v>
      </c>
      <c r="D168" s="3">
        <f t="shared" si="11"/>
        <v>81.553592865983944</v>
      </c>
      <c r="E168" s="3">
        <f>IF(A168="","",(-PPMT(Refinance_Calculator!$C$13/12,Full_Report!A168,Refinance_Calculator!$C$16,Full_Report!$B$86,0,0)))</f>
        <v>43.912417483035476</v>
      </c>
      <c r="F168" s="3">
        <f t="shared" si="12"/>
        <v>12189.126512414558</v>
      </c>
      <c r="G168" s="5">
        <f t="shared" si="8"/>
        <v>2810.8734875854425</v>
      </c>
      <c r="H168" s="5">
        <f t="shared" si="9"/>
        <v>7602.8053713831678</v>
      </c>
      <c r="J168"/>
      <c r="K168"/>
      <c r="L168"/>
      <c r="M168"/>
      <c r="O168"/>
      <c r="P168"/>
      <c r="Q168"/>
    </row>
    <row r="169" spans="1:17" ht="14.4" x14ac:dyDescent="0.3">
      <c r="A169" s="1">
        <f>IF(OR(A168="",F168=0,A168=Refinance_Calculator!$C$16),"",A168+1)</f>
        <v>84</v>
      </c>
      <c r="B169" s="3">
        <f t="shared" si="10"/>
        <v>12189.126512414558</v>
      </c>
      <c r="C169" s="3">
        <f>IF(A169="","",(-PMT(Refinance_Calculator!$C$13/12,Refinance_Calculator!$C$16,Full_Report!$B$86,0,0)))</f>
        <v>125.46601034901943</v>
      </c>
      <c r="D169" s="3">
        <f t="shared" si="11"/>
        <v>81.26084341609706</v>
      </c>
      <c r="E169" s="3">
        <f>IF(A169="","",(-PPMT(Refinance_Calculator!$C$13/12,Full_Report!A169,Refinance_Calculator!$C$16,Full_Report!$B$86,0,0)))</f>
        <v>44.205166932922374</v>
      </c>
      <c r="F169" s="3">
        <f t="shared" si="12"/>
        <v>12144.921345481634</v>
      </c>
      <c r="G169" s="5">
        <f t="shared" si="8"/>
        <v>2855.0786545183651</v>
      </c>
      <c r="H169" s="5">
        <f t="shared" si="9"/>
        <v>7684.0662147992653</v>
      </c>
      <c r="J169"/>
      <c r="K169"/>
      <c r="L169"/>
      <c r="M169"/>
      <c r="O169"/>
      <c r="P169"/>
      <c r="Q169"/>
    </row>
    <row r="170" spans="1:17" ht="14.4" x14ac:dyDescent="0.3">
      <c r="A170" s="1">
        <f>IF(OR(A169="",F169=0,A169=Refinance_Calculator!$C$16),"",A169+1)</f>
        <v>85</v>
      </c>
      <c r="B170" s="3">
        <f t="shared" si="10"/>
        <v>12144.921345481634</v>
      </c>
      <c r="C170" s="3">
        <f>IF(A170="","",(-PMT(Refinance_Calculator!$C$13/12,Refinance_Calculator!$C$16,Full_Report!$B$86,0,0)))</f>
        <v>125.46601034901943</v>
      </c>
      <c r="D170" s="3">
        <f t="shared" si="11"/>
        <v>80.966142303210887</v>
      </c>
      <c r="E170" s="3">
        <f>IF(A170="","",(-PPMT(Refinance_Calculator!$C$13/12,Full_Report!A170,Refinance_Calculator!$C$16,Full_Report!$B$86,0,0)))</f>
        <v>44.499868045808533</v>
      </c>
      <c r="F170" s="3">
        <f t="shared" si="12"/>
        <v>12100.421477435826</v>
      </c>
      <c r="G170" s="5">
        <f t="shared" si="8"/>
        <v>2899.5785225641735</v>
      </c>
      <c r="H170" s="5">
        <f t="shared" si="9"/>
        <v>7765.0323571024765</v>
      </c>
      <c r="J170"/>
      <c r="K170"/>
      <c r="L170"/>
      <c r="M170"/>
      <c r="O170"/>
      <c r="P170"/>
      <c r="Q170"/>
    </row>
    <row r="171" spans="1:17" ht="14.4" x14ac:dyDescent="0.3">
      <c r="A171" s="1">
        <f>IF(OR(A170="",F170=0,A170=Refinance_Calculator!$C$16),"",A170+1)</f>
        <v>86</v>
      </c>
      <c r="B171" s="3">
        <f t="shared" si="10"/>
        <v>12100.421477435826</v>
      </c>
      <c r="C171" s="3">
        <f>IF(A171="","",(-PMT(Refinance_Calculator!$C$13/12,Refinance_Calculator!$C$16,Full_Report!$B$86,0,0)))</f>
        <v>125.46601034901943</v>
      </c>
      <c r="D171" s="3">
        <f t="shared" si="11"/>
        <v>80.669476516238831</v>
      </c>
      <c r="E171" s="3">
        <f>IF(A171="","",(-PPMT(Refinance_Calculator!$C$13/12,Full_Report!A171,Refinance_Calculator!$C$16,Full_Report!$B$86,0,0)))</f>
        <v>44.79653383278059</v>
      </c>
      <c r="F171" s="3">
        <f t="shared" si="12"/>
        <v>12055.624943603045</v>
      </c>
      <c r="G171" s="5">
        <f t="shared" si="8"/>
        <v>2944.3750563969538</v>
      </c>
      <c r="H171" s="5">
        <f t="shared" si="9"/>
        <v>7845.7018336187157</v>
      </c>
      <c r="J171"/>
      <c r="K171"/>
      <c r="L171"/>
      <c r="M171"/>
      <c r="O171"/>
      <c r="P171"/>
      <c r="Q171"/>
    </row>
    <row r="172" spans="1:17" ht="14.4" x14ac:dyDescent="0.3">
      <c r="A172" s="1">
        <f>IF(OR(A171="",F171=0,A171=Refinance_Calculator!$C$16),"",A171+1)</f>
        <v>87</v>
      </c>
      <c r="B172" s="3">
        <f t="shared" si="10"/>
        <v>12055.624943603045</v>
      </c>
      <c r="C172" s="3">
        <f>IF(A172="","",(-PMT(Refinance_Calculator!$C$13/12,Refinance_Calculator!$C$16,Full_Report!$B$86,0,0)))</f>
        <v>125.46601034901943</v>
      </c>
      <c r="D172" s="3">
        <f t="shared" si="11"/>
        <v>80.370832957353642</v>
      </c>
      <c r="E172" s="3">
        <f>IF(A172="","",(-PPMT(Refinance_Calculator!$C$13/12,Full_Report!A172,Refinance_Calculator!$C$16,Full_Report!$B$86,0,0)))</f>
        <v>45.095177391665786</v>
      </c>
      <c r="F172" s="3">
        <f t="shared" si="12"/>
        <v>12010.529766211379</v>
      </c>
      <c r="G172" s="5">
        <f t="shared" si="8"/>
        <v>2989.4702337886197</v>
      </c>
      <c r="H172" s="5">
        <f t="shared" si="9"/>
        <v>7926.0726665760694</v>
      </c>
      <c r="J172"/>
      <c r="K172"/>
      <c r="L172"/>
      <c r="M172"/>
      <c r="O172"/>
      <c r="P172"/>
      <c r="Q172"/>
    </row>
    <row r="173" spans="1:17" ht="14.4" x14ac:dyDescent="0.3">
      <c r="A173" s="1">
        <f>IF(OR(A172="",F172=0,A172=Refinance_Calculator!$C$16),"",A172+1)</f>
        <v>88</v>
      </c>
      <c r="B173" s="3">
        <f t="shared" si="10"/>
        <v>12010.529766211379</v>
      </c>
      <c r="C173" s="3">
        <f>IF(A173="","",(-PMT(Refinance_Calculator!$C$13/12,Refinance_Calculator!$C$16,Full_Report!$B$86,0,0)))</f>
        <v>125.46601034901943</v>
      </c>
      <c r="D173" s="3">
        <f t="shared" si="11"/>
        <v>80.07019844140919</v>
      </c>
      <c r="E173" s="3">
        <f>IF(A173="","",(-PPMT(Refinance_Calculator!$C$13/12,Full_Report!A173,Refinance_Calculator!$C$16,Full_Report!$B$86,0,0)))</f>
        <v>45.395811907610231</v>
      </c>
      <c r="F173" s="3">
        <f t="shared" si="12"/>
        <v>11965.133954303768</v>
      </c>
      <c r="G173" s="5">
        <f t="shared" si="8"/>
        <v>3034.8660456962298</v>
      </c>
      <c r="H173" s="5">
        <f t="shared" si="9"/>
        <v>8006.1428650174785</v>
      </c>
      <c r="J173"/>
      <c r="K173"/>
      <c r="L173"/>
      <c r="M173"/>
      <c r="O173"/>
      <c r="P173"/>
      <c r="Q173"/>
    </row>
    <row r="174" spans="1:17" ht="14.4" x14ac:dyDescent="0.3">
      <c r="A174" s="1">
        <f>IF(OR(A173="",F173=0,A173=Refinance_Calculator!$C$16),"",A173+1)</f>
        <v>89</v>
      </c>
      <c r="B174" s="3">
        <f t="shared" si="10"/>
        <v>11965.133954303768</v>
      </c>
      <c r="C174" s="3">
        <f>IF(A174="","",(-PMT(Refinance_Calculator!$C$13/12,Refinance_Calculator!$C$16,Full_Report!$B$86,0,0)))</f>
        <v>125.46601034901943</v>
      </c>
      <c r="D174" s="3">
        <f t="shared" si="11"/>
        <v>79.767559695358472</v>
      </c>
      <c r="E174" s="3">
        <f>IF(A174="","",(-PPMT(Refinance_Calculator!$C$13/12,Full_Report!A174,Refinance_Calculator!$C$16,Full_Report!$B$86,0,0)))</f>
        <v>45.698450653660963</v>
      </c>
      <c r="F174" s="3">
        <f t="shared" si="12"/>
        <v>11919.435503650107</v>
      </c>
      <c r="G174" s="5">
        <f t="shared" si="8"/>
        <v>3080.5644963498908</v>
      </c>
      <c r="H174" s="5">
        <f t="shared" si="9"/>
        <v>8085.9104247128371</v>
      </c>
      <c r="J174"/>
      <c r="K174"/>
      <c r="L174"/>
      <c r="M174"/>
      <c r="O174"/>
      <c r="P174"/>
      <c r="Q174"/>
    </row>
    <row r="175" spans="1:17" ht="14.4" x14ac:dyDescent="0.3">
      <c r="A175" s="1">
        <f>IF(OR(A174="",F174=0,A174=Refinance_Calculator!$C$16),"",A174+1)</f>
        <v>90</v>
      </c>
      <c r="B175" s="3">
        <f t="shared" si="10"/>
        <v>11919.435503650107</v>
      </c>
      <c r="C175" s="3">
        <f>IF(A175="","",(-PMT(Refinance_Calculator!$C$13/12,Refinance_Calculator!$C$16,Full_Report!$B$86,0,0)))</f>
        <v>125.46601034901943</v>
      </c>
      <c r="D175" s="3">
        <f t="shared" si="11"/>
        <v>79.462903357667386</v>
      </c>
      <c r="E175" s="3">
        <f>IF(A175="","",(-PPMT(Refinance_Calculator!$C$13/12,Full_Report!A175,Refinance_Calculator!$C$16,Full_Report!$B$86,0,0)))</f>
        <v>46.003106991352034</v>
      </c>
      <c r="F175" s="3">
        <f t="shared" si="12"/>
        <v>11873.432396658756</v>
      </c>
      <c r="G175" s="5">
        <f t="shared" si="8"/>
        <v>3126.5676033412428</v>
      </c>
      <c r="H175" s="5">
        <f t="shared" si="9"/>
        <v>8165.3733280705046</v>
      </c>
      <c r="J175"/>
      <c r="K175"/>
      <c r="L175"/>
      <c r="M175"/>
      <c r="O175"/>
      <c r="P175"/>
      <c r="Q175"/>
    </row>
    <row r="176" spans="1:17" ht="14.4" x14ac:dyDescent="0.3">
      <c r="A176" s="1">
        <f>IF(OR(A175="",F175=0,A175=Refinance_Calculator!$C$16),"",A175+1)</f>
        <v>91</v>
      </c>
      <c r="B176" s="3">
        <f t="shared" si="10"/>
        <v>11873.432396658756</v>
      </c>
      <c r="C176" s="3">
        <f>IF(A176="","",(-PMT(Refinance_Calculator!$C$13/12,Refinance_Calculator!$C$16,Full_Report!$B$86,0,0)))</f>
        <v>125.46601034901943</v>
      </c>
      <c r="D176" s="3">
        <f t="shared" si="11"/>
        <v>79.156215977725054</v>
      </c>
      <c r="E176" s="3">
        <f>IF(A176="","",(-PPMT(Refinance_Calculator!$C$13/12,Full_Report!A176,Refinance_Calculator!$C$16,Full_Report!$B$86,0,0)))</f>
        <v>46.30979437129438</v>
      </c>
      <c r="F176" s="3">
        <f t="shared" si="12"/>
        <v>11827.122602287462</v>
      </c>
      <c r="G176" s="5">
        <f t="shared" si="8"/>
        <v>3172.877397712537</v>
      </c>
      <c r="H176" s="5">
        <f t="shared" si="9"/>
        <v>8244.5295440482296</v>
      </c>
      <c r="J176"/>
      <c r="K176"/>
      <c r="L176"/>
      <c r="M176"/>
      <c r="O176"/>
      <c r="P176"/>
      <c r="Q176"/>
    </row>
    <row r="177" spans="1:17" ht="14.4" x14ac:dyDescent="0.3">
      <c r="A177" s="1">
        <f>IF(OR(A176="",F176=0,A176=Refinance_Calculator!$C$16),"",A176+1)</f>
        <v>92</v>
      </c>
      <c r="B177" s="3">
        <f t="shared" si="10"/>
        <v>11827.122602287462</v>
      </c>
      <c r="C177" s="3">
        <f>IF(A177="","",(-PMT(Refinance_Calculator!$C$13/12,Refinance_Calculator!$C$16,Full_Report!$B$86,0,0)))</f>
        <v>125.46601034901943</v>
      </c>
      <c r="D177" s="3">
        <f t="shared" si="11"/>
        <v>78.847484015249748</v>
      </c>
      <c r="E177" s="3">
        <f>IF(A177="","",(-PPMT(Refinance_Calculator!$C$13/12,Full_Report!A177,Refinance_Calculator!$C$16,Full_Report!$B$86,0,0)))</f>
        <v>46.61852633376968</v>
      </c>
      <c r="F177" s="3">
        <f t="shared" si="12"/>
        <v>11780.504075953691</v>
      </c>
      <c r="G177" s="5">
        <f t="shared" si="8"/>
        <v>3219.4959240463068</v>
      </c>
      <c r="H177" s="5">
        <f t="shared" si="9"/>
        <v>8323.3770280634799</v>
      </c>
      <c r="J177"/>
      <c r="K177"/>
      <c r="L177"/>
      <c r="M177"/>
      <c r="O177"/>
      <c r="P177"/>
      <c r="Q177"/>
    </row>
    <row r="178" spans="1:17" ht="14.4" x14ac:dyDescent="0.3">
      <c r="A178" s="1">
        <f>IF(OR(A177="",F177=0,A177=Refinance_Calculator!$C$16),"",A177+1)</f>
        <v>93</v>
      </c>
      <c r="B178" s="3">
        <f t="shared" si="10"/>
        <v>11780.504075953691</v>
      </c>
      <c r="C178" s="3">
        <f>IF(A178="","",(-PMT(Refinance_Calculator!$C$13/12,Refinance_Calculator!$C$16,Full_Report!$B$86,0,0)))</f>
        <v>125.46601034901943</v>
      </c>
      <c r="D178" s="3">
        <f t="shared" si="11"/>
        <v>78.536693839691281</v>
      </c>
      <c r="E178" s="3">
        <f>IF(A178="","",(-PPMT(Refinance_Calculator!$C$13/12,Full_Report!A178,Refinance_Calculator!$C$16,Full_Report!$B$86,0,0)))</f>
        <v>46.929316509328146</v>
      </c>
      <c r="F178" s="3">
        <f t="shared" si="12"/>
        <v>11733.574759444364</v>
      </c>
      <c r="G178" s="5">
        <f t="shared" si="8"/>
        <v>3266.4252405556349</v>
      </c>
      <c r="H178" s="5">
        <f t="shared" si="9"/>
        <v>8401.9137219031709</v>
      </c>
      <c r="J178"/>
      <c r="K178"/>
      <c r="L178"/>
      <c r="M178"/>
      <c r="O178"/>
      <c r="P178"/>
      <c r="Q178"/>
    </row>
    <row r="179" spans="1:17" ht="14.4" x14ac:dyDescent="0.3">
      <c r="A179" s="1">
        <f>IF(OR(A178="",F178=0,A178=Refinance_Calculator!$C$16),"",A178+1)</f>
        <v>94</v>
      </c>
      <c r="B179" s="3">
        <f t="shared" si="10"/>
        <v>11733.574759444364</v>
      </c>
      <c r="C179" s="3">
        <f>IF(A179="","",(-PMT(Refinance_Calculator!$C$13/12,Refinance_Calculator!$C$16,Full_Report!$B$86,0,0)))</f>
        <v>125.46601034901943</v>
      </c>
      <c r="D179" s="3">
        <f t="shared" si="11"/>
        <v>78.223831729629097</v>
      </c>
      <c r="E179" s="3">
        <f>IF(A179="","",(-PPMT(Refinance_Calculator!$C$13/12,Full_Report!A179,Refinance_Calculator!$C$16,Full_Report!$B$86,0,0)))</f>
        <v>47.24217861939033</v>
      </c>
      <c r="F179" s="3">
        <f t="shared" si="12"/>
        <v>11686.332580824974</v>
      </c>
      <c r="G179" s="5">
        <f t="shared" si="8"/>
        <v>3313.6674191750253</v>
      </c>
      <c r="H179" s="5">
        <f t="shared" si="9"/>
        <v>8480.1375536327996</v>
      </c>
      <c r="J179"/>
      <c r="K179"/>
      <c r="L179"/>
      <c r="M179"/>
      <c r="O179"/>
      <c r="P179"/>
      <c r="Q179"/>
    </row>
    <row r="180" spans="1:17" ht="14.4" x14ac:dyDescent="0.3">
      <c r="A180" s="1">
        <f>IF(OR(A179="",F179=0,A179=Refinance_Calculator!$C$16),"",A179+1)</f>
        <v>95</v>
      </c>
      <c r="B180" s="3">
        <f t="shared" si="10"/>
        <v>11686.332580824974</v>
      </c>
      <c r="C180" s="3">
        <f>IF(A180="","",(-PMT(Refinance_Calculator!$C$13/12,Refinance_Calculator!$C$16,Full_Report!$B$86,0,0)))</f>
        <v>125.46601034901943</v>
      </c>
      <c r="D180" s="3">
        <f t="shared" si="11"/>
        <v>77.908883872166484</v>
      </c>
      <c r="E180" s="3">
        <f>IF(A180="","",(-PPMT(Refinance_Calculator!$C$13/12,Full_Report!A180,Refinance_Calculator!$C$16,Full_Report!$B$86,0,0)))</f>
        <v>47.557126476852936</v>
      </c>
      <c r="F180" s="3">
        <f t="shared" si="12"/>
        <v>11638.775454348121</v>
      </c>
      <c r="G180" s="5">
        <f t="shared" si="8"/>
        <v>3361.2245456518781</v>
      </c>
      <c r="H180" s="5">
        <f t="shared" si="9"/>
        <v>8558.0464375049669</v>
      </c>
      <c r="J180"/>
      <c r="K180"/>
      <c r="L180"/>
      <c r="M180"/>
      <c r="O180"/>
      <c r="P180"/>
      <c r="Q180"/>
    </row>
    <row r="181" spans="1:17" ht="14.4" x14ac:dyDescent="0.3">
      <c r="A181" s="1">
        <f>IF(OR(A180="",F180=0,A180=Refinance_Calculator!$C$16),"",A180+1)</f>
        <v>96</v>
      </c>
      <c r="B181" s="3">
        <f t="shared" si="10"/>
        <v>11638.775454348121</v>
      </c>
      <c r="C181" s="3">
        <f>IF(A181="","",(-PMT(Refinance_Calculator!$C$13/12,Refinance_Calculator!$C$16,Full_Report!$B$86,0,0)))</f>
        <v>125.46601034901943</v>
      </c>
      <c r="D181" s="3">
        <f t="shared" si="11"/>
        <v>77.591836362320805</v>
      </c>
      <c r="E181" s="3">
        <f>IF(A181="","",(-PPMT(Refinance_Calculator!$C$13/12,Full_Report!A181,Refinance_Calculator!$C$16,Full_Report!$B$86,0,0)))</f>
        <v>47.874173986698629</v>
      </c>
      <c r="F181" s="3">
        <f t="shared" si="12"/>
        <v>11590.901280361422</v>
      </c>
      <c r="G181" s="5">
        <f t="shared" si="8"/>
        <v>3409.0987196385768</v>
      </c>
      <c r="H181" s="5">
        <f t="shared" si="9"/>
        <v>8635.6382738672874</v>
      </c>
      <c r="J181"/>
      <c r="K181"/>
      <c r="L181"/>
      <c r="M181"/>
      <c r="O181"/>
      <c r="P181"/>
      <c r="Q181"/>
    </row>
    <row r="182" spans="1:17" ht="14.4" x14ac:dyDescent="0.3">
      <c r="A182" s="1">
        <f>IF(OR(A181="",F181=0,A181=Refinance_Calculator!$C$16),"",A181+1)</f>
        <v>97</v>
      </c>
      <c r="B182" s="3">
        <f t="shared" si="10"/>
        <v>11590.901280361422</v>
      </c>
      <c r="C182" s="3">
        <f>IF(A182="","",(-PMT(Refinance_Calculator!$C$13/12,Refinance_Calculator!$C$16,Full_Report!$B$86,0,0)))</f>
        <v>125.46601034901943</v>
      </c>
      <c r="D182" s="3">
        <f t="shared" si="11"/>
        <v>77.272675202409488</v>
      </c>
      <c r="E182" s="3">
        <f>IF(A182="","",(-PPMT(Refinance_Calculator!$C$13/12,Full_Report!A182,Refinance_Calculator!$C$16,Full_Report!$B$86,0,0)))</f>
        <v>48.19333514660994</v>
      </c>
      <c r="F182" s="3">
        <f t="shared" si="12"/>
        <v>11542.707945214812</v>
      </c>
      <c r="G182" s="5">
        <f t="shared" si="8"/>
        <v>3457.2920547851868</v>
      </c>
      <c r="H182" s="5">
        <f t="shared" si="9"/>
        <v>8712.9109490696974</v>
      </c>
      <c r="J182"/>
      <c r="K182"/>
      <c r="L182"/>
      <c r="M182"/>
      <c r="O182"/>
      <c r="P182"/>
      <c r="Q182"/>
    </row>
    <row r="183" spans="1:17" ht="14.4" x14ac:dyDescent="0.3">
      <c r="A183" s="1">
        <f>IF(OR(A182="",F182=0,A182=Refinance_Calculator!$C$16),"",A182+1)</f>
        <v>98</v>
      </c>
      <c r="B183" s="3">
        <f t="shared" si="10"/>
        <v>11542.707945214812</v>
      </c>
      <c r="C183" s="3">
        <f>IF(A183="","",(-PMT(Refinance_Calculator!$C$13/12,Refinance_Calculator!$C$16,Full_Report!$B$86,0,0)))</f>
        <v>125.46601034901943</v>
      </c>
      <c r="D183" s="3">
        <f t="shared" si="11"/>
        <v>76.95138630143208</v>
      </c>
      <c r="E183" s="3">
        <f>IF(A183="","",(-PPMT(Refinance_Calculator!$C$13/12,Full_Report!A183,Refinance_Calculator!$C$16,Full_Report!$B$86,0,0)))</f>
        <v>48.51462404758734</v>
      </c>
      <c r="F183" s="3">
        <f t="shared" si="12"/>
        <v>11494.193321167224</v>
      </c>
      <c r="G183" s="5">
        <f t="shared" si="8"/>
        <v>3505.8066788327742</v>
      </c>
      <c r="H183" s="5">
        <f t="shared" si="9"/>
        <v>8789.86233537113</v>
      </c>
      <c r="J183"/>
      <c r="K183"/>
      <c r="L183"/>
      <c r="M183"/>
      <c r="O183"/>
      <c r="P183"/>
      <c r="Q183"/>
    </row>
    <row r="184" spans="1:17" ht="14.4" x14ac:dyDescent="0.3">
      <c r="A184" s="1">
        <f>IF(OR(A183="",F183=0,A183=Refinance_Calculator!$C$16),"",A183+1)</f>
        <v>99</v>
      </c>
      <c r="B184" s="3">
        <f t="shared" si="10"/>
        <v>11494.193321167224</v>
      </c>
      <c r="C184" s="3">
        <f>IF(A184="","",(-PMT(Refinance_Calculator!$C$13/12,Refinance_Calculator!$C$16,Full_Report!$B$86,0,0)))</f>
        <v>125.46601034901943</v>
      </c>
      <c r="D184" s="3">
        <f t="shared" si="11"/>
        <v>76.627955474448157</v>
      </c>
      <c r="E184" s="3">
        <f>IF(A184="","",(-PPMT(Refinance_Calculator!$C$13/12,Full_Report!A184,Refinance_Calculator!$C$16,Full_Report!$B$86,0,0)))</f>
        <v>48.838054874571263</v>
      </c>
      <c r="F184" s="3">
        <f t="shared" si="12"/>
        <v>11445.355266292652</v>
      </c>
      <c r="G184" s="5">
        <f t="shared" si="8"/>
        <v>3554.6447337073455</v>
      </c>
      <c r="H184" s="5">
        <f t="shared" si="9"/>
        <v>8866.4902908455788</v>
      </c>
      <c r="J184"/>
      <c r="K184"/>
      <c r="L184"/>
      <c r="M184"/>
      <c r="O184"/>
      <c r="P184"/>
      <c r="Q184"/>
    </row>
    <row r="185" spans="1:17" ht="14.4" x14ac:dyDescent="0.3">
      <c r="A185" s="1">
        <f>IF(OR(A184="",F184=0,A184=Refinance_Calculator!$C$16),"",A184+1)</f>
        <v>100</v>
      </c>
      <c r="B185" s="3">
        <f t="shared" si="10"/>
        <v>11445.355266292652</v>
      </c>
      <c r="C185" s="3">
        <f>IF(A185="","",(-PMT(Refinance_Calculator!$C$13/12,Refinance_Calculator!$C$16,Full_Report!$B$86,0,0)))</f>
        <v>125.46601034901943</v>
      </c>
      <c r="D185" s="3">
        <f t="shared" si="11"/>
        <v>76.302368441951032</v>
      </c>
      <c r="E185" s="3">
        <f>IF(A185="","",(-PPMT(Refinance_Calculator!$C$13/12,Full_Report!A185,Refinance_Calculator!$C$16,Full_Report!$B$86,0,0)))</f>
        <v>49.163641907068396</v>
      </c>
      <c r="F185" s="3">
        <f t="shared" si="12"/>
        <v>11396.191624385583</v>
      </c>
      <c r="G185" s="5">
        <f t="shared" si="8"/>
        <v>3603.8083756144138</v>
      </c>
      <c r="H185" s="5">
        <f t="shared" si="9"/>
        <v>8942.7926592875301</v>
      </c>
      <c r="J185"/>
      <c r="K185"/>
      <c r="L185"/>
      <c r="M185"/>
      <c r="O185"/>
      <c r="P185"/>
      <c r="Q185"/>
    </row>
    <row r="186" spans="1:17" ht="14.4" x14ac:dyDescent="0.3">
      <c r="A186" s="1">
        <f>IF(OR(A185="",F185=0,A185=Refinance_Calculator!$C$16),"",A185+1)</f>
        <v>101</v>
      </c>
      <c r="B186" s="3">
        <f t="shared" si="10"/>
        <v>11396.191624385583</v>
      </c>
      <c r="C186" s="3">
        <f>IF(A186="","",(-PMT(Refinance_Calculator!$C$13/12,Refinance_Calculator!$C$16,Full_Report!$B$86,0,0)))</f>
        <v>125.46601034901943</v>
      </c>
      <c r="D186" s="3">
        <f t="shared" si="11"/>
        <v>75.974610829237236</v>
      </c>
      <c r="E186" s="3">
        <f>IF(A186="","",(-PPMT(Refinance_Calculator!$C$13/12,Full_Report!A186,Refinance_Calculator!$C$16,Full_Report!$B$86,0,0)))</f>
        <v>49.491399519782185</v>
      </c>
      <c r="F186" s="3">
        <f t="shared" si="12"/>
        <v>11346.700224865801</v>
      </c>
      <c r="G186" s="5">
        <f t="shared" si="8"/>
        <v>3653.2997751341959</v>
      </c>
      <c r="H186" s="5">
        <f t="shared" si="9"/>
        <v>9018.7672701167667</v>
      </c>
      <c r="J186"/>
      <c r="K186"/>
      <c r="L186"/>
      <c r="M186"/>
      <c r="O186"/>
      <c r="P186"/>
      <c r="Q186"/>
    </row>
    <row r="187" spans="1:17" ht="14.4" x14ac:dyDescent="0.3">
      <c r="A187" s="1">
        <f>IF(OR(A186="",F186=0,A186=Refinance_Calculator!$C$16),"",A186+1)</f>
        <v>102</v>
      </c>
      <c r="B187" s="3">
        <f t="shared" si="10"/>
        <v>11346.700224865801</v>
      </c>
      <c r="C187" s="3">
        <f>IF(A187="","",(-PMT(Refinance_Calculator!$C$13/12,Refinance_Calculator!$C$16,Full_Report!$B$86,0,0)))</f>
        <v>125.46601034901943</v>
      </c>
      <c r="D187" s="3">
        <f t="shared" si="11"/>
        <v>75.644668165772018</v>
      </c>
      <c r="E187" s="3">
        <f>IF(A187="","",(-PPMT(Refinance_Calculator!$C$13/12,Full_Report!A187,Refinance_Calculator!$C$16,Full_Report!$B$86,0,0)))</f>
        <v>49.82134218324741</v>
      </c>
      <c r="F187" s="3">
        <f t="shared" si="12"/>
        <v>11296.878882682553</v>
      </c>
      <c r="G187" s="5">
        <f t="shared" si="8"/>
        <v>3703.1211173174433</v>
      </c>
      <c r="H187" s="5">
        <f t="shared" si="9"/>
        <v>9094.4119382825393</v>
      </c>
      <c r="J187"/>
      <c r="K187"/>
      <c r="L187"/>
      <c r="M187"/>
      <c r="O187"/>
      <c r="P187"/>
      <c r="Q187"/>
    </row>
    <row r="188" spans="1:17" ht="14.4" x14ac:dyDescent="0.3">
      <c r="A188" s="1">
        <f>IF(OR(A187="",F187=0,A187=Refinance_Calculator!$C$16),"",A187+1)</f>
        <v>103</v>
      </c>
      <c r="B188" s="3">
        <f t="shared" si="10"/>
        <v>11296.878882682553</v>
      </c>
      <c r="C188" s="3">
        <f>IF(A188="","",(-PMT(Refinance_Calculator!$C$13/12,Refinance_Calculator!$C$16,Full_Report!$B$86,0,0)))</f>
        <v>125.46601034901943</v>
      </c>
      <c r="D188" s="3">
        <f t="shared" si="11"/>
        <v>75.312525884550368</v>
      </c>
      <c r="E188" s="3">
        <f>IF(A188="","",(-PPMT(Refinance_Calculator!$C$13/12,Full_Report!A188,Refinance_Calculator!$C$16,Full_Report!$B$86,0,0)))</f>
        <v>50.153484464469059</v>
      </c>
      <c r="F188" s="3">
        <f t="shared" si="12"/>
        <v>11246.725398218085</v>
      </c>
      <c r="G188" s="5">
        <f t="shared" si="8"/>
        <v>3753.2746017819122</v>
      </c>
      <c r="H188" s="5">
        <f t="shared" si="9"/>
        <v>9169.7244641670895</v>
      </c>
      <c r="J188"/>
      <c r="K188"/>
      <c r="L188"/>
      <c r="M188"/>
      <c r="O188"/>
      <c r="P188"/>
      <c r="Q188"/>
    </row>
    <row r="189" spans="1:17" ht="14.4" x14ac:dyDescent="0.3">
      <c r="A189" s="1">
        <f>IF(OR(A188="",F188=0,A188=Refinance_Calculator!$C$16),"",A188+1)</f>
        <v>104</v>
      </c>
      <c r="B189" s="3">
        <f t="shared" si="10"/>
        <v>11246.725398218085</v>
      </c>
      <c r="C189" s="3">
        <f>IF(A189="","",(-PMT(Refinance_Calculator!$C$13/12,Refinance_Calculator!$C$16,Full_Report!$B$86,0,0)))</f>
        <v>125.46601034901943</v>
      </c>
      <c r="D189" s="3">
        <f t="shared" si="11"/>
        <v>74.978169321453919</v>
      </c>
      <c r="E189" s="3">
        <f>IF(A189="","",(-PPMT(Refinance_Calculator!$C$13/12,Full_Report!A189,Refinance_Calculator!$C$16,Full_Report!$B$86,0,0)))</f>
        <v>50.487841027565516</v>
      </c>
      <c r="F189" s="3">
        <f t="shared" si="12"/>
        <v>11196.23755719052</v>
      </c>
      <c r="G189" s="5">
        <f t="shared" si="8"/>
        <v>3803.7624428094778</v>
      </c>
      <c r="H189" s="5">
        <f t="shared" si="9"/>
        <v>9244.7026334885431</v>
      </c>
      <c r="J189"/>
      <c r="K189"/>
      <c r="L189"/>
      <c r="M189"/>
      <c r="O189"/>
      <c r="P189"/>
      <c r="Q189"/>
    </row>
    <row r="190" spans="1:17" ht="14.4" x14ac:dyDescent="0.3">
      <c r="A190" s="1">
        <f>IF(OR(A189="",F189=0,A189=Refinance_Calculator!$C$16),"",A189+1)</f>
        <v>105</v>
      </c>
      <c r="B190" s="3">
        <f t="shared" si="10"/>
        <v>11196.23755719052</v>
      </c>
      <c r="C190" s="3">
        <f>IF(A190="","",(-PMT(Refinance_Calculator!$C$13/12,Refinance_Calculator!$C$16,Full_Report!$B$86,0,0)))</f>
        <v>125.46601034901943</v>
      </c>
      <c r="D190" s="3">
        <f t="shared" si="11"/>
        <v>74.64158371460347</v>
      </c>
      <c r="E190" s="3">
        <f>IF(A190="","",(-PPMT(Refinance_Calculator!$C$13/12,Full_Report!A190,Refinance_Calculator!$C$16,Full_Report!$B$86,0,0)))</f>
        <v>50.824426634415957</v>
      </c>
      <c r="F190" s="3">
        <f t="shared" si="12"/>
        <v>11145.413130556104</v>
      </c>
      <c r="G190" s="5">
        <f t="shared" si="8"/>
        <v>3854.5868694438936</v>
      </c>
      <c r="H190" s="5">
        <f t="shared" si="9"/>
        <v>9319.3442172031464</v>
      </c>
      <c r="J190"/>
      <c r="K190"/>
      <c r="L190"/>
      <c r="M190"/>
      <c r="O190"/>
      <c r="P190"/>
      <c r="Q190"/>
    </row>
    <row r="191" spans="1:17" ht="14.4" x14ac:dyDescent="0.3">
      <c r="A191" s="1">
        <f>IF(OR(A190="",F190=0,A190=Refinance_Calculator!$C$16),"",A190+1)</f>
        <v>106</v>
      </c>
      <c r="B191" s="3">
        <f t="shared" si="10"/>
        <v>11145.413130556104</v>
      </c>
      <c r="C191" s="3">
        <f>IF(A191="","",(-PMT(Refinance_Calculator!$C$13/12,Refinance_Calculator!$C$16,Full_Report!$B$86,0,0)))</f>
        <v>125.46601034901943</v>
      </c>
      <c r="D191" s="3">
        <f t="shared" si="11"/>
        <v>74.302754203707366</v>
      </c>
      <c r="E191" s="3">
        <f>IF(A191="","",(-PPMT(Refinance_Calculator!$C$13/12,Full_Report!A191,Refinance_Calculator!$C$16,Full_Report!$B$86,0,0)))</f>
        <v>51.163256145312062</v>
      </c>
      <c r="F191" s="3">
        <f t="shared" si="12"/>
        <v>11094.249874410792</v>
      </c>
      <c r="G191" s="5">
        <f t="shared" si="8"/>
        <v>3905.7501255892057</v>
      </c>
      <c r="H191" s="5">
        <f t="shared" si="9"/>
        <v>9393.6469714068535</v>
      </c>
      <c r="J191"/>
      <c r="K191"/>
      <c r="L191"/>
      <c r="M191"/>
      <c r="O191"/>
      <c r="P191"/>
      <c r="Q191"/>
    </row>
    <row r="192" spans="1:17" ht="14.4" x14ac:dyDescent="0.3">
      <c r="A192" s="1">
        <f>IF(OR(A191="",F191=0,A191=Refinance_Calculator!$C$16),"",A191+1)</f>
        <v>107</v>
      </c>
      <c r="B192" s="3">
        <f t="shared" si="10"/>
        <v>11094.249874410792</v>
      </c>
      <c r="C192" s="3">
        <f>IF(A192="","",(-PMT(Refinance_Calculator!$C$13/12,Refinance_Calculator!$C$16,Full_Report!$B$86,0,0)))</f>
        <v>125.46601034901943</v>
      </c>
      <c r="D192" s="3">
        <f t="shared" si="11"/>
        <v>73.961665829405291</v>
      </c>
      <c r="E192" s="3">
        <f>IF(A192="","",(-PPMT(Refinance_Calculator!$C$13/12,Full_Report!A192,Refinance_Calculator!$C$16,Full_Report!$B$86,0,0)))</f>
        <v>51.504344519614136</v>
      </c>
      <c r="F192" s="3">
        <f t="shared" si="12"/>
        <v>11042.745529891179</v>
      </c>
      <c r="G192" s="5">
        <f t="shared" si="8"/>
        <v>3957.25447010882</v>
      </c>
      <c r="H192" s="5">
        <f t="shared" si="9"/>
        <v>9467.6086372362588</v>
      </c>
      <c r="J192"/>
      <c r="K192"/>
      <c r="L192"/>
      <c r="M192"/>
      <c r="O192"/>
      <c r="P192"/>
      <c r="Q192"/>
    </row>
    <row r="193" spans="1:17" ht="14.4" x14ac:dyDescent="0.3">
      <c r="A193" s="1">
        <f>IF(OR(A192="",F192=0,A192=Refinance_Calculator!$C$16),"",A192+1)</f>
        <v>108</v>
      </c>
      <c r="B193" s="3">
        <f t="shared" si="10"/>
        <v>11042.745529891179</v>
      </c>
      <c r="C193" s="3">
        <f>IF(A193="","",(-PMT(Refinance_Calculator!$C$13/12,Refinance_Calculator!$C$16,Full_Report!$B$86,0,0)))</f>
        <v>125.46601034901943</v>
      </c>
      <c r="D193" s="3">
        <f t="shared" si="11"/>
        <v>73.618303532607854</v>
      </c>
      <c r="E193" s="3">
        <f>IF(A193="","",(-PPMT(Refinance_Calculator!$C$13/12,Full_Report!A193,Refinance_Calculator!$C$16,Full_Report!$B$86,0,0)))</f>
        <v>51.847706816411566</v>
      </c>
      <c r="F193" s="3">
        <f t="shared" si="12"/>
        <v>10990.897823074767</v>
      </c>
      <c r="G193" s="5">
        <f t="shared" si="8"/>
        <v>4009.1021769252316</v>
      </c>
      <c r="H193" s="5">
        <f t="shared" si="9"/>
        <v>9541.2269407688673</v>
      </c>
      <c r="J193"/>
      <c r="K193"/>
      <c r="L193"/>
      <c r="M193"/>
      <c r="O193"/>
      <c r="P193"/>
      <c r="Q193"/>
    </row>
    <row r="194" spans="1:17" ht="14.4" x14ac:dyDescent="0.3">
      <c r="A194" s="1">
        <f>IF(OR(A193="",F193=0,A193=Refinance_Calculator!$C$16),"",A193+1)</f>
        <v>109</v>
      </c>
      <c r="B194" s="3">
        <f t="shared" si="10"/>
        <v>10990.897823074767</v>
      </c>
      <c r="C194" s="3">
        <f>IF(A194="","",(-PMT(Refinance_Calculator!$C$13/12,Refinance_Calculator!$C$16,Full_Report!$B$86,0,0)))</f>
        <v>125.46601034901943</v>
      </c>
      <c r="D194" s="3">
        <f t="shared" si="11"/>
        <v>73.272652153831785</v>
      </c>
      <c r="E194" s="3">
        <f>IF(A194="","",(-PPMT(Refinance_Calculator!$C$13/12,Full_Report!A194,Refinance_Calculator!$C$16,Full_Report!$B$86,0,0)))</f>
        <v>52.193358195187649</v>
      </c>
      <c r="F194" s="3">
        <f t="shared" si="12"/>
        <v>10938.70446487958</v>
      </c>
      <c r="G194" s="5">
        <f t="shared" si="8"/>
        <v>4061.2955351204191</v>
      </c>
      <c r="H194" s="5">
        <f t="shared" si="9"/>
        <v>9614.4995929226989</v>
      </c>
      <c r="J194"/>
      <c r="K194"/>
      <c r="L194"/>
      <c r="M194"/>
      <c r="O194"/>
      <c r="P194"/>
      <c r="Q194"/>
    </row>
    <row r="195" spans="1:17" ht="14.4" x14ac:dyDescent="0.3">
      <c r="A195" s="1">
        <f>IF(OR(A194="",F194=0,A194=Refinance_Calculator!$C$16),"",A194+1)</f>
        <v>110</v>
      </c>
      <c r="B195" s="3">
        <f t="shared" si="10"/>
        <v>10938.70446487958</v>
      </c>
      <c r="C195" s="3">
        <f>IF(A195="","",(-PMT(Refinance_Calculator!$C$13/12,Refinance_Calculator!$C$16,Full_Report!$B$86,0,0)))</f>
        <v>125.46601034901943</v>
      </c>
      <c r="D195" s="3">
        <f t="shared" si="11"/>
        <v>72.924696432530538</v>
      </c>
      <c r="E195" s="3">
        <f>IF(A195="","",(-PPMT(Refinance_Calculator!$C$13/12,Full_Report!A195,Refinance_Calculator!$C$16,Full_Report!$B$86,0,0)))</f>
        <v>52.541313916488896</v>
      </c>
      <c r="F195" s="3">
        <f t="shared" si="12"/>
        <v>10886.163150963092</v>
      </c>
      <c r="G195" s="5">
        <f t="shared" si="8"/>
        <v>4113.8368490369085</v>
      </c>
      <c r="H195" s="5">
        <f t="shared" si="9"/>
        <v>9687.4242893552291</v>
      </c>
      <c r="J195"/>
      <c r="K195"/>
      <c r="L195"/>
      <c r="M195"/>
      <c r="O195"/>
      <c r="P195"/>
      <c r="Q195"/>
    </row>
    <row r="196" spans="1:17" ht="14.4" x14ac:dyDescent="0.3">
      <c r="A196" s="1">
        <f>IF(OR(A195="",F195=0,A195=Refinance_Calculator!$C$16),"",A195+1)</f>
        <v>111</v>
      </c>
      <c r="B196" s="3">
        <f t="shared" si="10"/>
        <v>10886.163150963092</v>
      </c>
      <c r="C196" s="3">
        <f>IF(A196="","",(-PMT(Refinance_Calculator!$C$13/12,Refinance_Calculator!$C$16,Full_Report!$B$86,0,0)))</f>
        <v>125.46601034901943</v>
      </c>
      <c r="D196" s="3">
        <f t="shared" si="11"/>
        <v>72.574421006420607</v>
      </c>
      <c r="E196" s="3">
        <f>IF(A196="","",(-PPMT(Refinance_Calculator!$C$13/12,Full_Report!A196,Refinance_Calculator!$C$16,Full_Report!$B$86,0,0)))</f>
        <v>52.89158934259882</v>
      </c>
      <c r="F196" s="3">
        <f t="shared" si="12"/>
        <v>10833.271561620493</v>
      </c>
      <c r="G196" s="5">
        <f t="shared" si="8"/>
        <v>4166.7284383795077</v>
      </c>
      <c r="H196" s="5">
        <f t="shared" si="9"/>
        <v>9759.9987103616495</v>
      </c>
      <c r="J196"/>
      <c r="K196"/>
      <c r="L196"/>
      <c r="M196"/>
      <c r="O196"/>
      <c r="P196"/>
      <c r="Q196"/>
    </row>
    <row r="197" spans="1:17" ht="14.4" x14ac:dyDescent="0.3">
      <c r="A197" s="1">
        <f>IF(OR(A196="",F196=0,A196=Refinance_Calculator!$C$16),"",A196+1)</f>
        <v>112</v>
      </c>
      <c r="B197" s="3">
        <f t="shared" si="10"/>
        <v>10833.271561620493</v>
      </c>
      <c r="C197" s="3">
        <f>IF(A197="","",(-PMT(Refinance_Calculator!$C$13/12,Refinance_Calculator!$C$16,Full_Report!$B$86,0,0)))</f>
        <v>125.46601034901943</v>
      </c>
      <c r="D197" s="3">
        <f t="shared" si="11"/>
        <v>72.221810410803272</v>
      </c>
      <c r="E197" s="3">
        <f>IF(A197="","",(-PPMT(Refinance_Calculator!$C$13/12,Full_Report!A197,Refinance_Calculator!$C$16,Full_Report!$B$86,0,0)))</f>
        <v>53.244199938216148</v>
      </c>
      <c r="F197" s="3">
        <f t="shared" si="12"/>
        <v>10780.027361682278</v>
      </c>
      <c r="G197" s="5">
        <f t="shared" si="8"/>
        <v>4219.972638317724</v>
      </c>
      <c r="H197" s="5">
        <f t="shared" si="9"/>
        <v>9832.2205207724528</v>
      </c>
      <c r="J197"/>
      <c r="K197"/>
      <c r="L197"/>
      <c r="M197"/>
      <c r="O197"/>
      <c r="P197"/>
      <c r="Q197"/>
    </row>
    <row r="198" spans="1:17" ht="14.4" x14ac:dyDescent="0.3">
      <c r="A198" s="1">
        <f>IF(OR(A197="",F197=0,A197=Refinance_Calculator!$C$16),"",A197+1)</f>
        <v>113</v>
      </c>
      <c r="B198" s="3">
        <f t="shared" si="10"/>
        <v>10780.027361682278</v>
      </c>
      <c r="C198" s="3">
        <f>IF(A198="","",(-PMT(Refinance_Calculator!$C$13/12,Refinance_Calculator!$C$16,Full_Report!$B$86,0,0)))</f>
        <v>125.46601034901943</v>
      </c>
      <c r="D198" s="3">
        <f t="shared" si="11"/>
        <v>71.866849077881838</v>
      </c>
      <c r="E198" s="3">
        <f>IF(A198="","",(-PPMT(Refinance_Calculator!$C$13/12,Full_Report!A198,Refinance_Calculator!$C$16,Full_Report!$B$86,0,0)))</f>
        <v>53.599161271137589</v>
      </c>
      <c r="F198" s="3">
        <f t="shared" si="12"/>
        <v>10726.428200411141</v>
      </c>
      <c r="G198" s="5">
        <f t="shared" si="8"/>
        <v>4273.5717995888617</v>
      </c>
      <c r="H198" s="5">
        <f t="shared" si="9"/>
        <v>9904.0873698503347</v>
      </c>
      <c r="J198"/>
      <c r="K198"/>
      <c r="L198"/>
      <c r="M198"/>
      <c r="O198"/>
      <c r="P198"/>
      <c r="Q198"/>
    </row>
    <row r="199" spans="1:17" ht="14.4" x14ac:dyDescent="0.3">
      <c r="A199" s="1">
        <f>IF(OR(A198="",F198=0,A198=Refinance_Calculator!$C$16),"",A198+1)</f>
        <v>114</v>
      </c>
      <c r="B199" s="3">
        <f t="shared" si="10"/>
        <v>10726.428200411141</v>
      </c>
      <c r="C199" s="3">
        <f>IF(A199="","",(-PMT(Refinance_Calculator!$C$13/12,Refinance_Calculator!$C$16,Full_Report!$B$86,0,0)))</f>
        <v>125.46601034901943</v>
      </c>
      <c r="D199" s="3">
        <f t="shared" si="11"/>
        <v>71.509521336074258</v>
      </c>
      <c r="E199" s="3">
        <f>IF(A199="","",(-PPMT(Refinance_Calculator!$C$13/12,Full_Report!A199,Refinance_Calculator!$C$16,Full_Report!$B$86,0,0)))</f>
        <v>53.95648901294517</v>
      </c>
      <c r="F199" s="3">
        <f t="shared" si="12"/>
        <v>10672.471711398195</v>
      </c>
      <c r="G199" s="5">
        <f t="shared" si="8"/>
        <v>4327.5282886018067</v>
      </c>
      <c r="H199" s="5">
        <f t="shared" si="9"/>
        <v>9975.5968911864093</v>
      </c>
      <c r="J199"/>
      <c r="K199"/>
      <c r="L199"/>
      <c r="M199"/>
      <c r="O199"/>
      <c r="P199"/>
      <c r="Q199"/>
    </row>
    <row r="200" spans="1:17" ht="14.4" x14ac:dyDescent="0.3">
      <c r="A200" s="1">
        <f>IF(OR(A199="",F199=0,A199=Refinance_Calculator!$C$16),"",A199+1)</f>
        <v>115</v>
      </c>
      <c r="B200" s="3">
        <f t="shared" si="10"/>
        <v>10672.471711398195</v>
      </c>
      <c r="C200" s="3">
        <f>IF(A200="","",(-PMT(Refinance_Calculator!$C$13/12,Refinance_Calculator!$C$16,Full_Report!$B$86,0,0)))</f>
        <v>125.46601034901943</v>
      </c>
      <c r="D200" s="3">
        <f t="shared" si="11"/>
        <v>71.149811409321288</v>
      </c>
      <c r="E200" s="3">
        <f>IF(A200="","",(-PPMT(Refinance_Calculator!$C$13/12,Full_Report!A200,Refinance_Calculator!$C$16,Full_Report!$B$86,0,0)))</f>
        <v>54.31619893969814</v>
      </c>
      <c r="F200" s="3">
        <f t="shared" si="12"/>
        <v>10618.155512458497</v>
      </c>
      <c r="G200" s="5">
        <f t="shared" si="8"/>
        <v>4381.8444875415053</v>
      </c>
      <c r="H200" s="5">
        <f t="shared" si="9"/>
        <v>10046.74670259573</v>
      </c>
      <c r="J200"/>
      <c r="K200"/>
      <c r="L200"/>
      <c r="M200"/>
      <c r="O200"/>
      <c r="P200"/>
      <c r="Q200"/>
    </row>
    <row r="201" spans="1:17" ht="14.4" x14ac:dyDescent="0.3">
      <c r="A201" s="1">
        <f>IF(OR(A200="",F200=0,A200=Refinance_Calculator!$C$16),"",A200+1)</f>
        <v>116</v>
      </c>
      <c r="B201" s="3">
        <f t="shared" si="10"/>
        <v>10618.155512458497</v>
      </c>
      <c r="C201" s="3">
        <f>IF(A201="","",(-PMT(Refinance_Calculator!$C$13/12,Refinance_Calculator!$C$16,Full_Report!$B$86,0,0)))</f>
        <v>125.46601034901943</v>
      </c>
      <c r="D201" s="3">
        <f t="shared" si="11"/>
        <v>70.787703416389974</v>
      </c>
      <c r="E201" s="3">
        <f>IF(A201="","",(-PPMT(Refinance_Calculator!$C$13/12,Full_Report!A201,Refinance_Calculator!$C$16,Full_Report!$B$86,0,0)))</f>
        <v>54.678306932629461</v>
      </c>
      <c r="F201" s="3">
        <f t="shared" si="12"/>
        <v>10563.477205525867</v>
      </c>
      <c r="G201" s="5">
        <f t="shared" si="8"/>
        <v>4436.5227944741346</v>
      </c>
      <c r="H201" s="5">
        <f t="shared" si="9"/>
        <v>10117.534406012121</v>
      </c>
      <c r="J201"/>
      <c r="K201"/>
      <c r="L201"/>
      <c r="M201"/>
      <c r="O201"/>
      <c r="P201"/>
      <c r="Q201"/>
    </row>
    <row r="202" spans="1:17" ht="14.4" x14ac:dyDescent="0.3">
      <c r="A202" s="1">
        <f>IF(OR(A201="",F201=0,A201=Refinance_Calculator!$C$16),"",A201+1)</f>
        <v>117</v>
      </c>
      <c r="B202" s="3">
        <f t="shared" si="10"/>
        <v>10563.477205525867</v>
      </c>
      <c r="C202" s="3">
        <f>IF(A202="","",(-PMT(Refinance_Calculator!$C$13/12,Refinance_Calculator!$C$16,Full_Report!$B$86,0,0)))</f>
        <v>125.46601034901943</v>
      </c>
      <c r="D202" s="3">
        <f t="shared" si="11"/>
        <v>70.423181370172429</v>
      </c>
      <c r="E202" s="3">
        <f>IF(A202="","",(-PPMT(Refinance_Calculator!$C$13/12,Full_Report!A202,Refinance_Calculator!$C$16,Full_Report!$B$86,0,0)))</f>
        <v>55.042828978846998</v>
      </c>
      <c r="F202" s="3">
        <f t="shared" si="12"/>
        <v>10508.43437654702</v>
      </c>
      <c r="G202" s="5">
        <f t="shared" si="8"/>
        <v>4491.5656234529815</v>
      </c>
      <c r="H202" s="5">
        <f t="shared" si="9"/>
        <v>10187.957587382292</v>
      </c>
      <c r="J202"/>
      <c r="K202"/>
      <c r="L202"/>
      <c r="M202"/>
      <c r="O202"/>
      <c r="P202"/>
      <c r="Q202"/>
    </row>
    <row r="203" spans="1:17" ht="14.4" x14ac:dyDescent="0.3">
      <c r="A203" s="1">
        <f>IF(OR(A202="",F202=0,A202=Refinance_Calculator!$C$16),"",A202+1)</f>
        <v>118</v>
      </c>
      <c r="B203" s="3">
        <f t="shared" si="10"/>
        <v>10508.43437654702</v>
      </c>
      <c r="C203" s="3">
        <f>IF(A203="","",(-PMT(Refinance_Calculator!$C$13/12,Refinance_Calculator!$C$16,Full_Report!$B$86,0,0)))</f>
        <v>125.46601034901943</v>
      </c>
      <c r="D203" s="3">
        <f t="shared" si="11"/>
        <v>70.056229176980111</v>
      </c>
      <c r="E203" s="3">
        <f>IF(A203="","",(-PPMT(Refinance_Calculator!$C$13/12,Full_Report!A203,Refinance_Calculator!$C$16,Full_Report!$B$86,0,0)))</f>
        <v>55.40978117203931</v>
      </c>
      <c r="F203" s="3">
        <f t="shared" si="12"/>
        <v>10453.024595374982</v>
      </c>
      <c r="G203" s="5">
        <f t="shared" si="8"/>
        <v>4546.9754046250209</v>
      </c>
      <c r="H203" s="5">
        <f t="shared" si="9"/>
        <v>10258.013816559273</v>
      </c>
      <c r="J203"/>
      <c r="K203"/>
      <c r="L203"/>
      <c r="M203"/>
      <c r="O203"/>
      <c r="P203"/>
      <c r="Q203"/>
    </row>
    <row r="204" spans="1:17" ht="14.4" x14ac:dyDescent="0.3">
      <c r="A204" s="1">
        <f>IF(OR(A203="",F203=0,A203=Refinance_Calculator!$C$16),"",A203+1)</f>
        <v>119</v>
      </c>
      <c r="B204" s="3">
        <f t="shared" si="10"/>
        <v>10453.024595374982</v>
      </c>
      <c r="C204" s="3">
        <f>IF(A204="","",(-PMT(Refinance_Calculator!$C$13/12,Refinance_Calculator!$C$16,Full_Report!$B$86,0,0)))</f>
        <v>125.46601034901943</v>
      </c>
      <c r="D204" s="3">
        <f t="shared" si="11"/>
        <v>69.686830635833189</v>
      </c>
      <c r="E204" s="3">
        <f>IF(A204="","",(-PPMT(Refinance_Calculator!$C$13/12,Full_Report!A204,Refinance_Calculator!$C$16,Full_Report!$B$86,0,0)))</f>
        <v>55.779179713186231</v>
      </c>
      <c r="F204" s="3">
        <f t="shared" si="12"/>
        <v>10397.245415661795</v>
      </c>
      <c r="G204" s="5">
        <f t="shared" si="8"/>
        <v>4602.7545843382068</v>
      </c>
      <c r="H204" s="5">
        <f t="shared" si="9"/>
        <v>10327.700647195106</v>
      </c>
      <c r="J204"/>
      <c r="K204"/>
      <c r="L204"/>
      <c r="M204"/>
      <c r="O204"/>
      <c r="P204"/>
      <c r="Q204"/>
    </row>
    <row r="205" spans="1:17" ht="14.4" x14ac:dyDescent="0.3">
      <c r="A205" s="1">
        <f>IF(OR(A204="",F204=0,A204=Refinance_Calculator!$C$16),"",A204+1)</f>
        <v>120</v>
      </c>
      <c r="B205" s="3">
        <f t="shared" si="10"/>
        <v>10397.245415661795</v>
      </c>
      <c r="C205" s="3">
        <f>IF(A205="","",(-PMT(Refinance_Calculator!$C$13/12,Refinance_Calculator!$C$16,Full_Report!$B$86,0,0)))</f>
        <v>125.46601034901943</v>
      </c>
      <c r="D205" s="3">
        <f t="shared" si="11"/>
        <v>69.314969437745276</v>
      </c>
      <c r="E205" s="3">
        <f>IF(A205="","",(-PPMT(Refinance_Calculator!$C$13/12,Full_Report!A205,Refinance_Calculator!$C$16,Full_Report!$B$86,0,0)))</f>
        <v>56.151040911274144</v>
      </c>
      <c r="F205" s="3">
        <f t="shared" si="12"/>
        <v>10341.094374750521</v>
      </c>
      <c r="G205" s="5">
        <f t="shared" si="8"/>
        <v>4658.9056252494811</v>
      </c>
      <c r="H205" s="5">
        <f t="shared" si="9"/>
        <v>10397.015616632852</v>
      </c>
      <c r="J205"/>
      <c r="K205"/>
      <c r="L205"/>
      <c r="M205"/>
      <c r="O205"/>
      <c r="P205"/>
      <c r="Q205"/>
    </row>
    <row r="206" spans="1:17" ht="14.4" x14ac:dyDescent="0.3">
      <c r="A206" s="1">
        <f>IF(OR(A205="",F205=0,A205=Refinance_Calculator!$C$16),"",A205+1)</f>
        <v>121</v>
      </c>
      <c r="B206" s="3">
        <f t="shared" si="10"/>
        <v>10341.094374750521</v>
      </c>
      <c r="C206" s="3">
        <f>IF(A206="","",(-PMT(Refinance_Calculator!$C$13/12,Refinance_Calculator!$C$16,Full_Report!$B$86,0,0)))</f>
        <v>125.46601034901943</v>
      </c>
      <c r="D206" s="3">
        <f t="shared" si="11"/>
        <v>68.940629165003458</v>
      </c>
      <c r="E206" s="3">
        <f>IF(A206="","",(-PPMT(Refinance_Calculator!$C$13/12,Full_Report!A206,Refinance_Calculator!$C$16,Full_Report!$B$86,0,0)))</f>
        <v>56.525381184015963</v>
      </c>
      <c r="F206" s="3">
        <f t="shared" si="12"/>
        <v>10284.568993566505</v>
      </c>
      <c r="G206" s="5">
        <f t="shared" si="8"/>
        <v>4715.4310064334968</v>
      </c>
      <c r="H206" s="5">
        <f t="shared" si="9"/>
        <v>10465.956245797855</v>
      </c>
      <c r="J206"/>
      <c r="K206"/>
      <c r="L206"/>
      <c r="M206"/>
      <c r="O206"/>
      <c r="P206"/>
      <c r="Q206"/>
    </row>
    <row r="207" spans="1:17" ht="14.4" x14ac:dyDescent="0.3">
      <c r="A207" s="1">
        <f>IF(OR(A206="",F206=0,A206=Refinance_Calculator!$C$16),"",A206+1)</f>
        <v>122</v>
      </c>
      <c r="B207" s="3">
        <f t="shared" si="10"/>
        <v>10284.568993566505</v>
      </c>
      <c r="C207" s="3">
        <f>IF(A207="","",(-PMT(Refinance_Calculator!$C$13/12,Refinance_Calculator!$C$16,Full_Report!$B$86,0,0)))</f>
        <v>125.46601034901943</v>
      </c>
      <c r="D207" s="3">
        <f t="shared" si="11"/>
        <v>68.563793290443357</v>
      </c>
      <c r="E207" s="3">
        <f>IF(A207="","",(-PPMT(Refinance_Calculator!$C$13/12,Full_Report!A207,Refinance_Calculator!$C$16,Full_Report!$B$86,0,0)))</f>
        <v>56.902217058576078</v>
      </c>
      <c r="F207" s="3">
        <f t="shared" si="12"/>
        <v>10227.666776507929</v>
      </c>
      <c r="G207" s="5">
        <f t="shared" si="8"/>
        <v>4772.3332234920726</v>
      </c>
      <c r="H207" s="5">
        <f t="shared" si="9"/>
        <v>10534.520039088298</v>
      </c>
      <c r="J207"/>
      <c r="K207"/>
      <c r="L207"/>
      <c r="M207"/>
      <c r="O207"/>
      <c r="P207"/>
      <c r="Q207"/>
    </row>
    <row r="208" spans="1:17" ht="14.4" x14ac:dyDescent="0.3">
      <c r="A208" s="1">
        <f>IF(OR(A207="",F207=0,A207=Refinance_Calculator!$C$16),"",A207+1)</f>
        <v>123</v>
      </c>
      <c r="B208" s="3">
        <f t="shared" si="10"/>
        <v>10227.666776507929</v>
      </c>
      <c r="C208" s="3">
        <f>IF(A208="","",(-PMT(Refinance_Calculator!$C$13/12,Refinance_Calculator!$C$16,Full_Report!$B$86,0,0)))</f>
        <v>125.46601034901943</v>
      </c>
      <c r="D208" s="3">
        <f t="shared" si="11"/>
        <v>68.184445176719521</v>
      </c>
      <c r="E208" s="3">
        <f>IF(A208="","",(-PPMT(Refinance_Calculator!$C$13/12,Full_Report!A208,Refinance_Calculator!$C$16,Full_Report!$B$86,0,0)))</f>
        <v>57.281565172299914</v>
      </c>
      <c r="F208" s="3">
        <f t="shared" si="12"/>
        <v>10170.38521133563</v>
      </c>
      <c r="G208" s="5">
        <f t="shared" si="8"/>
        <v>4829.614788664373</v>
      </c>
      <c r="H208" s="5">
        <f t="shared" si="9"/>
        <v>10602.704484265018</v>
      </c>
      <c r="J208"/>
      <c r="K208"/>
      <c r="L208"/>
      <c r="M208"/>
      <c r="O208"/>
      <c r="P208"/>
      <c r="Q208"/>
    </row>
    <row r="209" spans="1:17" ht="14.4" x14ac:dyDescent="0.3">
      <c r="A209" s="1">
        <f>IF(OR(A208="",F208=0,A208=Refinance_Calculator!$C$16),"",A208+1)</f>
        <v>124</v>
      </c>
      <c r="B209" s="3">
        <f t="shared" si="10"/>
        <v>10170.38521133563</v>
      </c>
      <c r="C209" s="3">
        <f>IF(A209="","",(-PMT(Refinance_Calculator!$C$13/12,Refinance_Calculator!$C$16,Full_Report!$B$86,0,0)))</f>
        <v>125.46601034901943</v>
      </c>
      <c r="D209" s="3">
        <f t="shared" si="11"/>
        <v>67.802568075570846</v>
      </c>
      <c r="E209" s="3">
        <f>IF(A209="","",(-PPMT(Refinance_Calculator!$C$13/12,Full_Report!A209,Refinance_Calculator!$C$16,Full_Report!$B$86,0,0)))</f>
        <v>57.663442273448581</v>
      </c>
      <c r="F209" s="3">
        <f t="shared" si="12"/>
        <v>10112.721769062182</v>
      </c>
      <c r="G209" s="5">
        <f t="shared" si="8"/>
        <v>4887.2782309378217</v>
      </c>
      <c r="H209" s="5">
        <f t="shared" si="9"/>
        <v>10670.507052340588</v>
      </c>
      <c r="J209"/>
      <c r="K209"/>
      <c r="L209"/>
      <c r="M209"/>
      <c r="O209"/>
      <c r="P209"/>
      <c r="Q209"/>
    </row>
    <row r="210" spans="1:17" ht="14.4" x14ac:dyDescent="0.3">
      <c r="A210" s="1">
        <f>IF(OR(A209="",F209=0,A209=Refinance_Calculator!$C$16),"",A209+1)</f>
        <v>125</v>
      </c>
      <c r="B210" s="3">
        <f t="shared" si="10"/>
        <v>10112.721769062182</v>
      </c>
      <c r="C210" s="3">
        <f>IF(A210="","",(-PMT(Refinance_Calculator!$C$13/12,Refinance_Calculator!$C$16,Full_Report!$B$86,0,0)))</f>
        <v>125.46601034901943</v>
      </c>
      <c r="D210" s="3">
        <f t="shared" si="11"/>
        <v>67.418145127081175</v>
      </c>
      <c r="E210" s="3">
        <f>IF(A210="","",(-PPMT(Refinance_Calculator!$C$13/12,Full_Report!A210,Refinance_Calculator!$C$16,Full_Report!$B$86,0,0)))</f>
        <v>58.047865221938245</v>
      </c>
      <c r="F210" s="3">
        <f t="shared" si="12"/>
        <v>10054.673903840243</v>
      </c>
      <c r="G210" s="5">
        <f t="shared" si="8"/>
        <v>4945.3260961597598</v>
      </c>
      <c r="H210" s="5">
        <f t="shared" si="9"/>
        <v>10737.92519746767</v>
      </c>
      <c r="J210"/>
      <c r="K210"/>
      <c r="L210"/>
      <c r="M210"/>
      <c r="O210"/>
      <c r="P210"/>
      <c r="Q210"/>
    </row>
    <row r="211" spans="1:17" ht="14.4" x14ac:dyDescent="0.3">
      <c r="A211" s="1">
        <f>IF(OR(A210="",F210=0,A210=Refinance_Calculator!$C$16),"",A210+1)</f>
        <v>126</v>
      </c>
      <c r="B211" s="3">
        <f t="shared" si="10"/>
        <v>10054.673903840243</v>
      </c>
      <c r="C211" s="3">
        <f>IF(A211="","",(-PMT(Refinance_Calculator!$C$13/12,Refinance_Calculator!$C$16,Full_Report!$B$86,0,0)))</f>
        <v>125.46601034901943</v>
      </c>
      <c r="D211" s="3">
        <f t="shared" si="11"/>
        <v>67.031159358934929</v>
      </c>
      <c r="E211" s="3">
        <f>IF(A211="","",(-PPMT(Refinance_Calculator!$C$13/12,Full_Report!A211,Refinance_Calculator!$C$16,Full_Report!$B$86,0,0)))</f>
        <v>58.434850990084492</v>
      </c>
      <c r="F211" s="3">
        <f t="shared" si="12"/>
        <v>9996.2390528501583</v>
      </c>
      <c r="G211" s="5">
        <f t="shared" si="8"/>
        <v>5003.7609471498445</v>
      </c>
      <c r="H211" s="5">
        <f t="shared" si="9"/>
        <v>10804.956356826606</v>
      </c>
      <c r="J211"/>
      <c r="K211"/>
      <c r="L211"/>
      <c r="M211"/>
      <c r="O211"/>
      <c r="P211"/>
      <c r="Q211"/>
    </row>
    <row r="212" spans="1:17" ht="14.4" x14ac:dyDescent="0.3">
      <c r="A212" s="1">
        <f>IF(OR(A211="",F211=0,A211=Refinance_Calculator!$C$16),"",A211+1)</f>
        <v>127</v>
      </c>
      <c r="B212" s="3">
        <f t="shared" si="10"/>
        <v>9996.2390528501583</v>
      </c>
      <c r="C212" s="3">
        <f>IF(A212="","",(-PMT(Refinance_Calculator!$C$13/12,Refinance_Calculator!$C$16,Full_Report!$B$86,0,0)))</f>
        <v>125.46601034901943</v>
      </c>
      <c r="D212" s="3">
        <f t="shared" si="11"/>
        <v>66.641593685667715</v>
      </c>
      <c r="E212" s="3">
        <f>IF(A212="","",(-PPMT(Refinance_Calculator!$C$13/12,Full_Report!A212,Refinance_Calculator!$C$16,Full_Report!$B$86,0,0)))</f>
        <v>58.82441666335172</v>
      </c>
      <c r="F212" s="3">
        <f t="shared" si="12"/>
        <v>9937.4146361868061</v>
      </c>
      <c r="G212" s="5">
        <f t="shared" si="8"/>
        <v>5062.5853638131966</v>
      </c>
      <c r="H212" s="5">
        <f t="shared" si="9"/>
        <v>10871.597950512274</v>
      </c>
      <c r="J212"/>
      <c r="K212"/>
      <c r="L212"/>
      <c r="M212"/>
      <c r="O212"/>
      <c r="P212"/>
      <c r="Q212"/>
    </row>
    <row r="213" spans="1:17" ht="14.4" x14ac:dyDescent="0.3">
      <c r="A213" s="1">
        <f>IF(OR(A212="",F212=0,A212=Refinance_Calculator!$C$16),"",A212+1)</f>
        <v>128</v>
      </c>
      <c r="B213" s="3">
        <f t="shared" si="10"/>
        <v>9937.4146361868061</v>
      </c>
      <c r="C213" s="3">
        <f>IF(A213="","",(-PMT(Refinance_Calculator!$C$13/12,Refinance_Calculator!$C$16,Full_Report!$B$86,0,0)))</f>
        <v>125.46601034901943</v>
      </c>
      <c r="D213" s="3">
        <f t="shared" si="11"/>
        <v>66.249430907912028</v>
      </c>
      <c r="E213" s="3">
        <f>IF(A213="","",(-PPMT(Refinance_Calculator!$C$13/12,Full_Report!A213,Refinance_Calculator!$C$16,Full_Report!$B$86,0,0)))</f>
        <v>59.216579441107406</v>
      </c>
      <c r="F213" s="3">
        <f t="shared" si="12"/>
        <v>9878.1980567456994</v>
      </c>
      <c r="G213" s="5">
        <f t="shared" si="8"/>
        <v>5121.8019432543042</v>
      </c>
      <c r="H213" s="5">
        <f t="shared" si="9"/>
        <v>10937.847381420186</v>
      </c>
      <c r="J213"/>
      <c r="K213"/>
      <c r="L213"/>
      <c r="M213"/>
      <c r="O213"/>
      <c r="P213"/>
      <c r="Q213"/>
    </row>
    <row r="214" spans="1:17" ht="14.4" x14ac:dyDescent="0.3">
      <c r="A214" s="1">
        <f>IF(OR(A213="",F213=0,A213=Refinance_Calculator!$C$16),"",A213+1)</f>
        <v>129</v>
      </c>
      <c r="B214" s="3">
        <f t="shared" si="10"/>
        <v>9878.1980567456994</v>
      </c>
      <c r="C214" s="3">
        <f>IF(A214="","",(-PMT(Refinance_Calculator!$C$13/12,Refinance_Calculator!$C$16,Full_Report!$B$86,0,0)))</f>
        <v>125.46601034901943</v>
      </c>
      <c r="D214" s="3">
        <f t="shared" si="11"/>
        <v>65.85465371163798</v>
      </c>
      <c r="E214" s="3">
        <f>IF(A214="","",(-PPMT(Refinance_Calculator!$C$13/12,Full_Report!A214,Refinance_Calculator!$C$16,Full_Report!$B$86,0,0)))</f>
        <v>59.611356637381448</v>
      </c>
      <c r="F214" s="3">
        <f t="shared" si="12"/>
        <v>9818.5867001083188</v>
      </c>
      <c r="G214" s="5">
        <f t="shared" si="8"/>
        <v>5181.4132998916857</v>
      </c>
      <c r="H214" s="5">
        <f t="shared" si="9"/>
        <v>11003.702035131824</v>
      </c>
      <c r="J214"/>
      <c r="K214"/>
      <c r="L214"/>
      <c r="M214"/>
      <c r="O214"/>
      <c r="P214"/>
      <c r="Q214"/>
    </row>
    <row r="215" spans="1:17" ht="14.4" x14ac:dyDescent="0.3">
      <c r="A215" s="1">
        <f>IF(OR(A214="",F214=0,A214=Refinance_Calculator!$C$16),"",A214+1)</f>
        <v>130</v>
      </c>
      <c r="B215" s="3">
        <f t="shared" si="10"/>
        <v>9818.5867001083188</v>
      </c>
      <c r="C215" s="3">
        <f>IF(A215="","",(-PMT(Refinance_Calculator!$C$13/12,Refinance_Calculator!$C$16,Full_Report!$B$86,0,0)))</f>
        <v>125.46601034901943</v>
      </c>
      <c r="D215" s="3">
        <f t="shared" si="11"/>
        <v>65.457244667388764</v>
      </c>
      <c r="E215" s="3">
        <f>IF(A215="","",(-PPMT(Refinance_Calculator!$C$13/12,Full_Report!A215,Refinance_Calculator!$C$16,Full_Report!$B$86,0,0)))</f>
        <v>60.008765681630663</v>
      </c>
      <c r="F215" s="3">
        <f t="shared" si="12"/>
        <v>9758.5779344266884</v>
      </c>
      <c r="G215" s="5">
        <f t="shared" si="8"/>
        <v>5241.4220655733161</v>
      </c>
      <c r="H215" s="5">
        <f t="shared" si="9"/>
        <v>11069.159279799213</v>
      </c>
      <c r="J215"/>
      <c r="K215"/>
      <c r="L215"/>
      <c r="M215"/>
      <c r="O215"/>
      <c r="P215"/>
      <c r="Q215"/>
    </row>
    <row r="216" spans="1:17" ht="14.4" x14ac:dyDescent="0.3">
      <c r="A216" s="1">
        <f>IF(OR(A215="",F215=0,A215=Refinance_Calculator!$C$16),"",A215+1)</f>
        <v>131</v>
      </c>
      <c r="B216" s="3">
        <f t="shared" si="10"/>
        <v>9758.5779344266884</v>
      </c>
      <c r="C216" s="3">
        <f>IF(A216="","",(-PMT(Refinance_Calculator!$C$13/12,Refinance_Calculator!$C$16,Full_Report!$B$86,0,0)))</f>
        <v>125.46601034901943</v>
      </c>
      <c r="D216" s="3">
        <f t="shared" si="11"/>
        <v>65.057186229511217</v>
      </c>
      <c r="E216" s="3">
        <f>IF(A216="","",(-PPMT(Refinance_Calculator!$C$13/12,Full_Report!A216,Refinance_Calculator!$C$16,Full_Report!$B$86,0,0)))</f>
        <v>60.408824119508203</v>
      </c>
      <c r="F216" s="3">
        <f t="shared" si="12"/>
        <v>9698.1691103071807</v>
      </c>
      <c r="G216" s="5">
        <f t="shared" ref="G216:G279" si="13">+IF(A216="","",(E216+G215))</f>
        <v>5301.8308896928247</v>
      </c>
      <c r="H216" s="5">
        <f t="shared" ref="H216:H279" si="14">+IF(B216="","",(D216+H215))</f>
        <v>11134.216466028724</v>
      </c>
      <c r="J216"/>
      <c r="K216"/>
      <c r="L216"/>
      <c r="M216"/>
      <c r="O216"/>
      <c r="P216"/>
      <c r="Q216"/>
    </row>
    <row r="217" spans="1:17" ht="14.4" x14ac:dyDescent="0.3">
      <c r="A217" s="1">
        <f>IF(OR(A216="",F216=0,A216=Refinance_Calculator!$C$16),"",A216+1)</f>
        <v>132</v>
      </c>
      <c r="B217" s="3">
        <f t="shared" si="10"/>
        <v>9698.1691103071807</v>
      </c>
      <c r="C217" s="3">
        <f>IF(A217="","",(-PMT(Refinance_Calculator!$C$13/12,Refinance_Calculator!$C$16,Full_Report!$B$86,0,0)))</f>
        <v>125.46601034901943</v>
      </c>
      <c r="D217" s="3">
        <f t="shared" si="11"/>
        <v>64.654460735381178</v>
      </c>
      <c r="E217" s="3">
        <f>IF(A217="","",(-PPMT(Refinance_Calculator!$C$13/12,Full_Report!A217,Refinance_Calculator!$C$16,Full_Report!$B$86,0,0)))</f>
        <v>60.811549613638249</v>
      </c>
      <c r="F217" s="3">
        <f t="shared" si="12"/>
        <v>9637.3575606935428</v>
      </c>
      <c r="G217" s="5">
        <f t="shared" si="13"/>
        <v>5362.6424393064626</v>
      </c>
      <c r="H217" s="5">
        <f t="shared" si="14"/>
        <v>11198.870926764104</v>
      </c>
      <c r="J217"/>
      <c r="K217"/>
      <c r="L217"/>
      <c r="M217"/>
      <c r="O217"/>
      <c r="P217"/>
      <c r="Q217"/>
    </row>
    <row r="218" spans="1:17" ht="14.4" x14ac:dyDescent="0.3">
      <c r="A218" s="1">
        <f>IF(OR(A217="",F217=0,A217=Refinance_Calculator!$C$16),"",A217+1)</f>
        <v>133</v>
      </c>
      <c r="B218" s="3">
        <f t="shared" si="10"/>
        <v>9637.3575606935428</v>
      </c>
      <c r="C218" s="3">
        <f>IF(A218="","",(-PMT(Refinance_Calculator!$C$13/12,Refinance_Calculator!$C$16,Full_Report!$B$86,0,0)))</f>
        <v>125.46601034901943</v>
      </c>
      <c r="D218" s="3">
        <f t="shared" si="11"/>
        <v>64.249050404623588</v>
      </c>
      <c r="E218" s="3">
        <f>IF(A218="","",(-PPMT(Refinance_Calculator!$C$13/12,Full_Report!A218,Refinance_Calculator!$C$16,Full_Report!$B$86,0,0)))</f>
        <v>61.216959944395839</v>
      </c>
      <c r="F218" s="3">
        <f t="shared" si="12"/>
        <v>9576.1406007491478</v>
      </c>
      <c r="G218" s="5">
        <f t="shared" si="13"/>
        <v>5423.8593992508586</v>
      </c>
      <c r="H218" s="5">
        <f t="shared" si="14"/>
        <v>11263.119977168728</v>
      </c>
      <c r="J218"/>
      <c r="K218"/>
      <c r="L218"/>
      <c r="M218"/>
      <c r="O218"/>
      <c r="P218"/>
      <c r="Q218"/>
    </row>
    <row r="219" spans="1:17" ht="14.4" x14ac:dyDescent="0.3">
      <c r="A219" s="1">
        <f>IF(OR(A218="",F218=0,A218=Refinance_Calculator!$C$16),"",A218+1)</f>
        <v>134</v>
      </c>
      <c r="B219" s="3">
        <f t="shared" si="10"/>
        <v>9576.1406007491478</v>
      </c>
      <c r="C219" s="3">
        <f>IF(A219="","",(-PMT(Refinance_Calculator!$C$13/12,Refinance_Calculator!$C$16,Full_Report!$B$86,0,0)))</f>
        <v>125.46601034901943</v>
      </c>
      <c r="D219" s="3">
        <f t="shared" si="11"/>
        <v>63.840937338327613</v>
      </c>
      <c r="E219" s="3">
        <f>IF(A219="","",(-PPMT(Refinance_Calculator!$C$13/12,Full_Report!A219,Refinance_Calculator!$C$16,Full_Report!$B$86,0,0)))</f>
        <v>61.625073010691814</v>
      </c>
      <c r="F219" s="3">
        <f t="shared" si="12"/>
        <v>9514.5155277384565</v>
      </c>
      <c r="G219" s="5">
        <f t="shared" si="13"/>
        <v>5485.4844722615508</v>
      </c>
      <c r="H219" s="5">
        <f t="shared" si="14"/>
        <v>11326.960914507055</v>
      </c>
      <c r="J219"/>
      <c r="K219"/>
      <c r="L219"/>
      <c r="M219"/>
      <c r="O219"/>
      <c r="P219"/>
      <c r="Q219"/>
    </row>
    <row r="220" spans="1:17" ht="14.4" x14ac:dyDescent="0.3">
      <c r="A220" s="1">
        <f>IF(OR(A219="",F219=0,A219=Refinance_Calculator!$C$16),"",A219+1)</f>
        <v>135</v>
      </c>
      <c r="B220" s="3">
        <f t="shared" si="10"/>
        <v>9514.5155277384565</v>
      </c>
      <c r="C220" s="3">
        <f>IF(A220="","",(-PMT(Refinance_Calculator!$C$13/12,Refinance_Calculator!$C$16,Full_Report!$B$86,0,0)))</f>
        <v>125.46601034901943</v>
      </c>
      <c r="D220" s="3">
        <f t="shared" si="11"/>
        <v>63.430103518256324</v>
      </c>
      <c r="E220" s="3">
        <f>IF(A220="","",(-PPMT(Refinance_Calculator!$C$13/12,Full_Report!A220,Refinance_Calculator!$C$16,Full_Report!$B$86,0,0)))</f>
        <v>62.035906830763103</v>
      </c>
      <c r="F220" s="3">
        <f t="shared" si="12"/>
        <v>9452.479620907694</v>
      </c>
      <c r="G220" s="5">
        <f t="shared" si="13"/>
        <v>5547.5203790923142</v>
      </c>
      <c r="H220" s="5">
        <f t="shared" si="14"/>
        <v>11390.391018025311</v>
      </c>
      <c r="J220"/>
      <c r="K220"/>
      <c r="L220"/>
      <c r="M220"/>
      <c r="O220"/>
      <c r="P220"/>
      <c r="Q220"/>
    </row>
    <row r="221" spans="1:17" ht="14.4" x14ac:dyDescent="0.3">
      <c r="A221" s="1">
        <f>IF(OR(A220="",F220=0,A220=Refinance_Calculator!$C$16),"",A220+1)</f>
        <v>136</v>
      </c>
      <c r="B221" s="3">
        <f t="shared" si="10"/>
        <v>9452.479620907694</v>
      </c>
      <c r="C221" s="3">
        <f>IF(A221="","",(-PMT(Refinance_Calculator!$C$13/12,Refinance_Calculator!$C$16,Full_Report!$B$86,0,0)))</f>
        <v>125.46601034901943</v>
      </c>
      <c r="D221" s="3">
        <f t="shared" si="11"/>
        <v>63.01653080605125</v>
      </c>
      <c r="E221" s="3">
        <f>IF(A221="","",(-PPMT(Refinance_Calculator!$C$13/12,Full_Report!A221,Refinance_Calculator!$C$16,Full_Report!$B$86,0,0)))</f>
        <v>62.449479542968177</v>
      </c>
      <c r="F221" s="3">
        <f t="shared" si="12"/>
        <v>9390.0301413647267</v>
      </c>
      <c r="G221" s="5">
        <f t="shared" si="13"/>
        <v>5609.9698586352824</v>
      </c>
      <c r="H221" s="5">
        <f t="shared" si="14"/>
        <v>11453.407548831363</v>
      </c>
      <c r="J221"/>
      <c r="K221"/>
      <c r="L221"/>
      <c r="M221"/>
      <c r="O221"/>
      <c r="P221"/>
      <c r="Q221"/>
    </row>
    <row r="222" spans="1:17" ht="14.4" x14ac:dyDescent="0.3">
      <c r="A222" s="1">
        <f>IF(OR(A221="",F221=0,A221=Refinance_Calculator!$C$16),"",A221+1)</f>
        <v>137</v>
      </c>
      <c r="B222" s="3">
        <f t="shared" si="10"/>
        <v>9390.0301413647267</v>
      </c>
      <c r="C222" s="3">
        <f>IF(A222="","",(-PMT(Refinance_Calculator!$C$13/12,Refinance_Calculator!$C$16,Full_Report!$B$86,0,0)))</f>
        <v>125.46601034901943</v>
      </c>
      <c r="D222" s="3">
        <f t="shared" si="11"/>
        <v>62.600200942431442</v>
      </c>
      <c r="E222" s="3">
        <f>IF(A222="","",(-PPMT(Refinance_Calculator!$C$13/12,Full_Report!A222,Refinance_Calculator!$C$16,Full_Report!$B$86,0,0)))</f>
        <v>62.865809406587985</v>
      </c>
      <c r="F222" s="3">
        <f t="shared" si="12"/>
        <v>9327.1643319581381</v>
      </c>
      <c r="G222" s="5">
        <f t="shared" si="13"/>
        <v>5672.8356680418701</v>
      </c>
      <c r="H222" s="5">
        <f t="shared" si="14"/>
        <v>11516.007749773795</v>
      </c>
      <c r="J222"/>
      <c r="K222"/>
      <c r="L222"/>
      <c r="M222"/>
      <c r="O222"/>
      <c r="P222"/>
      <c r="Q222"/>
    </row>
    <row r="223" spans="1:17" ht="14.4" x14ac:dyDescent="0.3">
      <c r="A223" s="1">
        <f>IF(OR(A222="",F222=0,A222=Refinance_Calculator!$C$16),"",A222+1)</f>
        <v>138</v>
      </c>
      <c r="B223" s="3">
        <f t="shared" si="10"/>
        <v>9327.1643319581381</v>
      </c>
      <c r="C223" s="3">
        <f>IF(A223="","",(-PMT(Refinance_Calculator!$C$13/12,Refinance_Calculator!$C$16,Full_Report!$B$86,0,0)))</f>
        <v>125.46601034901943</v>
      </c>
      <c r="D223" s="3">
        <f t="shared" si="11"/>
        <v>62.181095546387532</v>
      </c>
      <c r="E223" s="3">
        <f>IF(A223="","",(-PPMT(Refinance_Calculator!$C$13/12,Full_Report!A223,Refinance_Calculator!$C$16,Full_Report!$B$86,0,0)))</f>
        <v>63.284914802631896</v>
      </c>
      <c r="F223" s="3">
        <f t="shared" si="12"/>
        <v>9263.8794171555055</v>
      </c>
      <c r="G223" s="5">
        <f t="shared" si="13"/>
        <v>5736.1205828445018</v>
      </c>
      <c r="H223" s="5">
        <f t="shared" si="14"/>
        <v>11578.188845320183</v>
      </c>
      <c r="J223"/>
      <c r="K223"/>
      <c r="L223"/>
      <c r="M223"/>
      <c r="O223"/>
      <c r="P223"/>
      <c r="Q223"/>
    </row>
    <row r="224" spans="1:17" ht="14.4" x14ac:dyDescent="0.3">
      <c r="A224" s="1">
        <f>IF(OR(A223="",F223=0,A223=Refinance_Calculator!$C$16),"",A223+1)</f>
        <v>139</v>
      </c>
      <c r="B224" s="3">
        <f t="shared" si="10"/>
        <v>9263.8794171555055</v>
      </c>
      <c r="C224" s="3">
        <f>IF(A224="","",(-PMT(Refinance_Calculator!$C$13/12,Refinance_Calculator!$C$16,Full_Report!$B$86,0,0)))</f>
        <v>125.46601034901943</v>
      </c>
      <c r="D224" s="3">
        <f t="shared" si="11"/>
        <v>61.759196114369999</v>
      </c>
      <c r="E224" s="3">
        <f>IF(A224="","",(-PPMT(Refinance_Calculator!$C$13/12,Full_Report!A224,Refinance_Calculator!$C$16,Full_Report!$B$86,0,0)))</f>
        <v>63.706814234649428</v>
      </c>
      <c r="F224" s="3">
        <f t="shared" si="12"/>
        <v>9200.1726029208567</v>
      </c>
      <c r="G224" s="5">
        <f t="shared" si="13"/>
        <v>5799.8273970791515</v>
      </c>
      <c r="H224" s="5">
        <f t="shared" si="14"/>
        <v>11639.948041434553</v>
      </c>
      <c r="J224"/>
      <c r="K224"/>
      <c r="L224"/>
      <c r="M224"/>
      <c r="O224"/>
      <c r="P224"/>
      <c r="Q224"/>
    </row>
    <row r="225" spans="1:17" ht="14.4" x14ac:dyDescent="0.3">
      <c r="A225" s="1">
        <f>IF(OR(A224="",F224=0,A224=Refinance_Calculator!$C$16),"",A224+1)</f>
        <v>140</v>
      </c>
      <c r="B225" s="3">
        <f t="shared" si="10"/>
        <v>9200.1726029208567</v>
      </c>
      <c r="C225" s="3">
        <f>IF(A225="","",(-PMT(Refinance_Calculator!$C$13/12,Refinance_Calculator!$C$16,Full_Report!$B$86,0,0)))</f>
        <v>125.46601034901943</v>
      </c>
      <c r="D225" s="3">
        <f t="shared" si="11"/>
        <v>61.334484019472328</v>
      </c>
      <c r="E225" s="3">
        <f>IF(A225="","",(-PPMT(Refinance_Calculator!$C$13/12,Full_Report!A225,Refinance_Calculator!$C$16,Full_Report!$B$86,0,0)))</f>
        <v>64.1315263295471</v>
      </c>
      <c r="F225" s="3">
        <f t="shared" si="12"/>
        <v>9136.0410765913093</v>
      </c>
      <c r="G225" s="5">
        <f t="shared" si="13"/>
        <v>5863.9589234086989</v>
      </c>
      <c r="H225" s="5">
        <f t="shared" si="14"/>
        <v>11701.282525454026</v>
      </c>
      <c r="J225"/>
      <c r="K225"/>
      <c r="L225"/>
      <c r="M225"/>
      <c r="O225"/>
      <c r="P225"/>
      <c r="Q225"/>
    </row>
    <row r="226" spans="1:17" ht="14.4" x14ac:dyDescent="0.3">
      <c r="A226" s="1">
        <f>IF(OR(A225="",F225=0,A225=Refinance_Calculator!$C$16),"",A225+1)</f>
        <v>141</v>
      </c>
      <c r="B226" s="3">
        <f t="shared" ref="B226:B289" si="15">IF(A226="","",(F225))</f>
        <v>9136.0410765913093</v>
      </c>
      <c r="C226" s="3">
        <f>IF(A226="","",(-PMT(Refinance_Calculator!$C$13/12,Refinance_Calculator!$C$16,Full_Report!$B$86,0,0)))</f>
        <v>125.46601034901943</v>
      </c>
      <c r="D226" s="3">
        <f t="shared" ref="D226:D289" si="16">+IF(A226="","",(C226-E226))</f>
        <v>60.906940510608692</v>
      </c>
      <c r="E226" s="3">
        <f>IF(A226="","",(-PPMT(Refinance_Calculator!$C$13/12,Full_Report!A226,Refinance_Calculator!$C$16,Full_Report!$B$86,0,0)))</f>
        <v>64.559069838410736</v>
      </c>
      <c r="F226" s="3">
        <f t="shared" ref="F226:F289" si="17">IF(A226="","",(B226-E226))</f>
        <v>9071.4820067528981</v>
      </c>
      <c r="G226" s="5">
        <f t="shared" si="13"/>
        <v>5928.5179932471092</v>
      </c>
      <c r="H226" s="5">
        <f t="shared" si="14"/>
        <v>11762.189465964635</v>
      </c>
      <c r="J226"/>
      <c r="K226"/>
      <c r="L226"/>
      <c r="M226"/>
      <c r="O226"/>
      <c r="P226"/>
      <c r="Q226"/>
    </row>
    <row r="227" spans="1:17" ht="14.4" x14ac:dyDescent="0.3">
      <c r="A227" s="1">
        <f>IF(OR(A226="",F226=0,A226=Refinance_Calculator!$C$16),"",A226+1)</f>
        <v>142</v>
      </c>
      <c r="B227" s="3">
        <f t="shared" si="15"/>
        <v>9071.4820067528981</v>
      </c>
      <c r="C227" s="3">
        <f>IF(A227="","",(-PMT(Refinance_Calculator!$C$13/12,Refinance_Calculator!$C$16,Full_Report!$B$86,0,0)))</f>
        <v>125.46601034901943</v>
      </c>
      <c r="D227" s="3">
        <f t="shared" si="16"/>
        <v>60.476546711685941</v>
      </c>
      <c r="E227" s="3">
        <f>IF(A227="","",(-PPMT(Refinance_Calculator!$C$13/12,Full_Report!A227,Refinance_Calculator!$C$16,Full_Report!$B$86,0,0)))</f>
        <v>64.989463637333486</v>
      </c>
      <c r="F227" s="3">
        <f t="shared" si="17"/>
        <v>9006.4925431155643</v>
      </c>
      <c r="G227" s="5">
        <f t="shared" si="13"/>
        <v>5993.5074568844429</v>
      </c>
      <c r="H227" s="5">
        <f t="shared" si="14"/>
        <v>11822.666012676322</v>
      </c>
      <c r="J227"/>
      <c r="K227"/>
      <c r="L227"/>
      <c r="M227"/>
      <c r="O227"/>
      <c r="P227"/>
      <c r="Q227"/>
    </row>
    <row r="228" spans="1:17" ht="14.4" x14ac:dyDescent="0.3">
      <c r="A228" s="1">
        <f>IF(OR(A227="",F227=0,A227=Refinance_Calculator!$C$16),"",A227+1)</f>
        <v>143</v>
      </c>
      <c r="B228" s="3">
        <f t="shared" si="15"/>
        <v>9006.4925431155643</v>
      </c>
      <c r="C228" s="3">
        <f>IF(A228="","",(-PMT(Refinance_Calculator!$C$13/12,Refinance_Calculator!$C$16,Full_Report!$B$86,0,0)))</f>
        <v>125.46601034901943</v>
      </c>
      <c r="D228" s="3">
        <f t="shared" si="16"/>
        <v>60.043283620770382</v>
      </c>
      <c r="E228" s="3">
        <f>IF(A228="","",(-PPMT(Refinance_Calculator!$C$13/12,Full_Report!A228,Refinance_Calculator!$C$16,Full_Report!$B$86,0,0)))</f>
        <v>65.422726728249046</v>
      </c>
      <c r="F228" s="3">
        <f t="shared" si="17"/>
        <v>8941.0698163873149</v>
      </c>
      <c r="G228" s="5">
        <f t="shared" si="13"/>
        <v>6058.9301836126924</v>
      </c>
      <c r="H228" s="5">
        <f t="shared" si="14"/>
        <v>11882.709296297093</v>
      </c>
      <c r="J228"/>
      <c r="K228"/>
      <c r="L228"/>
      <c r="M228"/>
      <c r="O228"/>
      <c r="P228"/>
      <c r="Q228"/>
    </row>
    <row r="229" spans="1:17" ht="14.4" x14ac:dyDescent="0.3">
      <c r="A229" s="1">
        <f>IF(OR(A228="",F228=0,A228=Refinance_Calculator!$C$16),"",A228+1)</f>
        <v>144</v>
      </c>
      <c r="B229" s="3">
        <f t="shared" si="15"/>
        <v>8941.0698163873149</v>
      </c>
      <c r="C229" s="3">
        <f>IF(A229="","",(-PMT(Refinance_Calculator!$C$13/12,Refinance_Calculator!$C$16,Full_Report!$B$86,0,0)))</f>
        <v>125.46601034901943</v>
      </c>
      <c r="D229" s="3">
        <f t="shared" si="16"/>
        <v>59.607132109248724</v>
      </c>
      <c r="E229" s="3">
        <f>IF(A229="","",(-PPMT(Refinance_Calculator!$C$13/12,Full_Report!A229,Refinance_Calculator!$C$16,Full_Report!$B$86,0,0)))</f>
        <v>65.858878239770704</v>
      </c>
      <c r="F229" s="3">
        <f t="shared" si="17"/>
        <v>8875.2109381475439</v>
      </c>
      <c r="G229" s="5">
        <f t="shared" si="13"/>
        <v>6124.7890618524634</v>
      </c>
      <c r="H229" s="5">
        <f t="shared" si="14"/>
        <v>11942.316428406342</v>
      </c>
      <c r="J229"/>
      <c r="K229"/>
      <c r="L229"/>
      <c r="M229"/>
      <c r="O229"/>
      <c r="P229"/>
      <c r="Q229"/>
    </row>
    <row r="230" spans="1:17" ht="14.4" x14ac:dyDescent="0.3">
      <c r="A230" s="1">
        <f>IF(OR(A229="",F229=0,A229=Refinance_Calculator!$C$16),"",A229+1)</f>
        <v>145</v>
      </c>
      <c r="B230" s="3">
        <f t="shared" si="15"/>
        <v>8875.2109381475439</v>
      </c>
      <c r="C230" s="3">
        <f>IF(A230="","",(-PMT(Refinance_Calculator!$C$13/12,Refinance_Calculator!$C$16,Full_Report!$B$86,0,0)))</f>
        <v>125.46601034901943</v>
      </c>
      <c r="D230" s="3">
        <f t="shared" si="16"/>
        <v>59.16807292098359</v>
      </c>
      <c r="E230" s="3">
        <f>IF(A230="","",(-PPMT(Refinance_Calculator!$C$13/12,Full_Report!A230,Refinance_Calculator!$C$16,Full_Report!$B$86,0,0)))</f>
        <v>66.297937428035837</v>
      </c>
      <c r="F230" s="3">
        <f t="shared" si="17"/>
        <v>8808.9130007195072</v>
      </c>
      <c r="G230" s="5">
        <f t="shared" si="13"/>
        <v>6191.0869992804992</v>
      </c>
      <c r="H230" s="5">
        <f t="shared" si="14"/>
        <v>12001.484501327326</v>
      </c>
      <c r="J230"/>
      <c r="K230"/>
      <c r="L230"/>
      <c r="M230"/>
      <c r="O230"/>
      <c r="P230"/>
      <c r="Q230"/>
    </row>
    <row r="231" spans="1:17" ht="14.4" x14ac:dyDescent="0.3">
      <c r="A231" s="1">
        <f>IF(OR(A230="",F230=0,A230=Refinance_Calculator!$C$16),"",A230+1)</f>
        <v>146</v>
      </c>
      <c r="B231" s="3">
        <f t="shared" si="15"/>
        <v>8808.9130007195072</v>
      </c>
      <c r="C231" s="3">
        <f>IF(A231="","",(-PMT(Refinance_Calculator!$C$13/12,Refinance_Calculator!$C$16,Full_Report!$B$86,0,0)))</f>
        <v>125.46601034901943</v>
      </c>
      <c r="D231" s="3">
        <f t="shared" si="16"/>
        <v>58.726086671463349</v>
      </c>
      <c r="E231" s="3">
        <f>IF(A231="","",(-PPMT(Refinance_Calculator!$C$13/12,Full_Report!A231,Refinance_Calculator!$C$16,Full_Report!$B$86,0,0)))</f>
        <v>66.739923677556078</v>
      </c>
      <c r="F231" s="3">
        <f t="shared" si="17"/>
        <v>8742.1730770419508</v>
      </c>
      <c r="G231" s="5">
        <f t="shared" si="13"/>
        <v>6257.8269229580555</v>
      </c>
      <c r="H231" s="5">
        <f t="shared" si="14"/>
        <v>12060.21058799879</v>
      </c>
      <c r="J231"/>
      <c r="K231"/>
      <c r="L231"/>
      <c r="M231"/>
      <c r="O231"/>
      <c r="P231"/>
      <c r="Q231"/>
    </row>
    <row r="232" spans="1:17" ht="14.4" x14ac:dyDescent="0.3">
      <c r="A232" s="1">
        <f>IF(OR(A231="",F231=0,A231=Refinance_Calculator!$C$16),"",A231+1)</f>
        <v>147</v>
      </c>
      <c r="B232" s="3">
        <f t="shared" si="15"/>
        <v>8742.1730770419508</v>
      </c>
      <c r="C232" s="3">
        <f>IF(A232="","",(-PMT(Refinance_Calculator!$C$13/12,Refinance_Calculator!$C$16,Full_Report!$B$86,0,0)))</f>
        <v>125.46601034901943</v>
      </c>
      <c r="D232" s="3">
        <f t="shared" si="16"/>
        <v>58.28115384694631</v>
      </c>
      <c r="E232" s="3">
        <f>IF(A232="","",(-PPMT(Refinance_Calculator!$C$13/12,Full_Report!A232,Refinance_Calculator!$C$16,Full_Report!$B$86,0,0)))</f>
        <v>67.184856502073117</v>
      </c>
      <c r="F232" s="3">
        <f t="shared" si="17"/>
        <v>8674.9882205398771</v>
      </c>
      <c r="G232" s="5">
        <f t="shared" si="13"/>
        <v>6325.0117794601283</v>
      </c>
      <c r="H232" s="5">
        <f t="shared" si="14"/>
        <v>12118.491741845737</v>
      </c>
      <c r="J232"/>
      <c r="K232"/>
      <c r="L232"/>
      <c r="M232"/>
      <c r="O232"/>
      <c r="P232"/>
      <c r="Q232"/>
    </row>
    <row r="233" spans="1:17" ht="14.4" x14ac:dyDescent="0.3">
      <c r="A233" s="1">
        <f>IF(OR(A232="",F232=0,A232=Refinance_Calculator!$C$16),"",A232+1)</f>
        <v>148</v>
      </c>
      <c r="B233" s="3">
        <f t="shared" si="15"/>
        <v>8674.9882205398771</v>
      </c>
      <c r="C233" s="3">
        <f>IF(A233="","",(-PMT(Refinance_Calculator!$C$13/12,Refinance_Calculator!$C$16,Full_Report!$B$86,0,0)))</f>
        <v>125.46601034901943</v>
      </c>
      <c r="D233" s="3">
        <f t="shared" si="16"/>
        <v>57.833254803599146</v>
      </c>
      <c r="E233" s="3">
        <f>IF(A233="","",(-PPMT(Refinance_Calculator!$C$13/12,Full_Report!A233,Refinance_Calculator!$C$16,Full_Report!$B$86,0,0)))</f>
        <v>67.632755545420281</v>
      </c>
      <c r="F233" s="3">
        <f t="shared" si="17"/>
        <v>8607.3554649944563</v>
      </c>
      <c r="G233" s="5">
        <f t="shared" si="13"/>
        <v>6392.6445350055483</v>
      </c>
      <c r="H233" s="5">
        <f t="shared" si="14"/>
        <v>12176.324996649337</v>
      </c>
      <c r="J233"/>
      <c r="K233"/>
      <c r="L233"/>
      <c r="M233"/>
      <c r="O233"/>
      <c r="P233"/>
      <c r="Q233"/>
    </row>
    <row r="234" spans="1:17" ht="14.4" x14ac:dyDescent="0.3">
      <c r="A234" s="1">
        <f>IF(OR(A233="",F233=0,A233=Refinance_Calculator!$C$16),"",A233+1)</f>
        <v>149</v>
      </c>
      <c r="B234" s="3">
        <f t="shared" si="15"/>
        <v>8607.3554649944563</v>
      </c>
      <c r="C234" s="3">
        <f>IF(A234="","",(-PMT(Refinance_Calculator!$C$13/12,Refinance_Calculator!$C$16,Full_Report!$B$86,0,0)))</f>
        <v>125.46601034901943</v>
      </c>
      <c r="D234" s="3">
        <f t="shared" si="16"/>
        <v>57.382369766629694</v>
      </c>
      <c r="E234" s="3">
        <f>IF(A234="","",(-PPMT(Refinance_Calculator!$C$13/12,Full_Report!A234,Refinance_Calculator!$C$16,Full_Report!$B$86,0,0)))</f>
        <v>68.083640582389734</v>
      </c>
      <c r="F234" s="3">
        <f t="shared" si="17"/>
        <v>8539.2718244120661</v>
      </c>
      <c r="G234" s="5">
        <f t="shared" si="13"/>
        <v>6460.7281755879376</v>
      </c>
      <c r="H234" s="5">
        <f t="shared" si="14"/>
        <v>12233.707366415967</v>
      </c>
      <c r="J234"/>
      <c r="K234"/>
      <c r="L234"/>
      <c r="M234"/>
      <c r="O234"/>
      <c r="P234"/>
      <c r="Q234"/>
    </row>
    <row r="235" spans="1:17" ht="14.4" x14ac:dyDescent="0.3">
      <c r="A235" s="1">
        <f>IF(OR(A234="",F234=0,A234=Refinance_Calculator!$C$16),"",A234+1)</f>
        <v>150</v>
      </c>
      <c r="B235" s="3">
        <f t="shared" si="15"/>
        <v>8539.2718244120661</v>
      </c>
      <c r="C235" s="3">
        <f>IF(A235="","",(-PMT(Refinance_Calculator!$C$13/12,Refinance_Calculator!$C$16,Full_Report!$B$86,0,0)))</f>
        <v>125.46601034901943</v>
      </c>
      <c r="D235" s="3">
        <f t="shared" si="16"/>
        <v>56.928478829413748</v>
      </c>
      <c r="E235" s="3">
        <f>IF(A235="","",(-PPMT(Refinance_Calculator!$C$13/12,Full_Report!A235,Refinance_Calculator!$C$16,Full_Report!$B$86,0,0)))</f>
        <v>68.537531519605679</v>
      </c>
      <c r="F235" s="3">
        <f t="shared" si="17"/>
        <v>8470.7342928924609</v>
      </c>
      <c r="G235" s="5">
        <f t="shared" si="13"/>
        <v>6529.2657071075437</v>
      </c>
      <c r="H235" s="5">
        <f t="shared" si="14"/>
        <v>12290.635845245381</v>
      </c>
      <c r="J235"/>
      <c r="K235"/>
      <c r="L235"/>
      <c r="M235"/>
      <c r="O235"/>
      <c r="P235"/>
      <c r="Q235"/>
    </row>
    <row r="236" spans="1:17" ht="14.4" x14ac:dyDescent="0.3">
      <c r="A236" s="1">
        <f>IF(OR(A235="",F235=0,A235=Refinance_Calculator!$C$16),"",A235+1)</f>
        <v>151</v>
      </c>
      <c r="B236" s="3">
        <f t="shared" si="15"/>
        <v>8470.7342928924609</v>
      </c>
      <c r="C236" s="3">
        <f>IF(A236="","",(-PMT(Refinance_Calculator!$C$13/12,Refinance_Calculator!$C$16,Full_Report!$B$86,0,0)))</f>
        <v>125.46601034901943</v>
      </c>
      <c r="D236" s="3">
        <f t="shared" si="16"/>
        <v>56.471561952616383</v>
      </c>
      <c r="E236" s="3">
        <f>IF(A236="","",(-PPMT(Refinance_Calculator!$C$13/12,Full_Report!A236,Refinance_Calculator!$C$16,Full_Report!$B$86,0,0)))</f>
        <v>68.994448396403044</v>
      </c>
      <c r="F236" s="3">
        <f t="shared" si="17"/>
        <v>8401.7398444960581</v>
      </c>
      <c r="G236" s="5">
        <f t="shared" si="13"/>
        <v>6598.2601555039464</v>
      </c>
      <c r="H236" s="5">
        <f t="shared" si="14"/>
        <v>12347.107407197997</v>
      </c>
      <c r="J236"/>
      <c r="K236"/>
      <c r="L236"/>
      <c r="M236"/>
      <c r="O236"/>
      <c r="P236"/>
      <c r="Q236"/>
    </row>
    <row r="237" spans="1:17" ht="14.4" x14ac:dyDescent="0.3">
      <c r="A237" s="1">
        <f>IF(OR(A236="",F236=0,A236=Refinance_Calculator!$C$16),"",A236+1)</f>
        <v>152</v>
      </c>
      <c r="B237" s="3">
        <f t="shared" si="15"/>
        <v>8401.7398444960581</v>
      </c>
      <c r="C237" s="3">
        <f>IF(A237="","",(-PMT(Refinance_Calculator!$C$13/12,Refinance_Calculator!$C$16,Full_Report!$B$86,0,0)))</f>
        <v>125.46601034901943</v>
      </c>
      <c r="D237" s="3">
        <f t="shared" si="16"/>
        <v>56.011598963307023</v>
      </c>
      <c r="E237" s="3">
        <f>IF(A237="","",(-PPMT(Refinance_Calculator!$C$13/12,Full_Report!A237,Refinance_Calculator!$C$16,Full_Report!$B$86,0,0)))</f>
        <v>69.454411385712405</v>
      </c>
      <c r="F237" s="3">
        <f t="shared" si="17"/>
        <v>8332.2854331103463</v>
      </c>
      <c r="G237" s="5">
        <f t="shared" si="13"/>
        <v>6667.7145668896592</v>
      </c>
      <c r="H237" s="5">
        <f t="shared" si="14"/>
        <v>12403.119006161303</v>
      </c>
      <c r="J237"/>
      <c r="K237"/>
      <c r="L237"/>
      <c r="M237"/>
      <c r="O237"/>
      <c r="P237"/>
      <c r="Q237"/>
    </row>
    <row r="238" spans="1:17" ht="14.4" x14ac:dyDescent="0.3">
      <c r="A238" s="1">
        <f>IF(OR(A237="",F237=0,A237=Refinance_Calculator!$C$16),"",A237+1)</f>
        <v>153</v>
      </c>
      <c r="B238" s="3">
        <f t="shared" si="15"/>
        <v>8332.2854331103463</v>
      </c>
      <c r="C238" s="3">
        <f>IF(A238="","",(-PMT(Refinance_Calculator!$C$13/12,Refinance_Calculator!$C$16,Full_Report!$B$86,0,0)))</f>
        <v>125.46601034901943</v>
      </c>
      <c r="D238" s="3">
        <f t="shared" si="16"/>
        <v>55.548569554068948</v>
      </c>
      <c r="E238" s="3">
        <f>IF(A238="","",(-PPMT(Refinance_Calculator!$C$13/12,Full_Report!A238,Refinance_Calculator!$C$16,Full_Report!$B$86,0,0)))</f>
        <v>69.91744079495048</v>
      </c>
      <c r="F238" s="3">
        <f t="shared" si="17"/>
        <v>8262.3679923153959</v>
      </c>
      <c r="G238" s="5">
        <f t="shared" si="13"/>
        <v>6737.6320076846096</v>
      </c>
      <c r="H238" s="5">
        <f t="shared" si="14"/>
        <v>12458.667575715372</v>
      </c>
      <c r="J238"/>
      <c r="K238"/>
      <c r="L238"/>
      <c r="M238"/>
      <c r="O238"/>
      <c r="P238"/>
      <c r="Q238"/>
    </row>
    <row r="239" spans="1:17" ht="14.4" x14ac:dyDescent="0.3">
      <c r="A239" s="1">
        <f>IF(OR(A238="",F238=0,A238=Refinance_Calculator!$C$16),"",A238+1)</f>
        <v>154</v>
      </c>
      <c r="B239" s="3">
        <f t="shared" si="15"/>
        <v>8262.3679923153959</v>
      </c>
      <c r="C239" s="3">
        <f>IF(A239="","",(-PMT(Refinance_Calculator!$C$13/12,Refinance_Calculator!$C$16,Full_Report!$B$86,0,0)))</f>
        <v>125.46601034901943</v>
      </c>
      <c r="D239" s="3">
        <f t="shared" si="16"/>
        <v>55.082453282102605</v>
      </c>
      <c r="E239" s="3">
        <f>IF(A239="","",(-PPMT(Refinance_Calculator!$C$13/12,Full_Report!A239,Refinance_Calculator!$C$16,Full_Report!$B$86,0,0)))</f>
        <v>70.383557066916822</v>
      </c>
      <c r="F239" s="3">
        <f t="shared" si="17"/>
        <v>8191.9844352484788</v>
      </c>
      <c r="G239" s="5">
        <f t="shared" si="13"/>
        <v>6808.0155647515267</v>
      </c>
      <c r="H239" s="5">
        <f t="shared" si="14"/>
        <v>12513.750028997474</v>
      </c>
      <c r="J239"/>
      <c r="K239"/>
      <c r="L239"/>
      <c r="M239"/>
      <c r="O239"/>
      <c r="P239"/>
      <c r="Q239"/>
    </row>
    <row r="240" spans="1:17" ht="14.4" x14ac:dyDescent="0.3">
      <c r="A240" s="1">
        <f>IF(OR(A239="",F239=0,A239=Refinance_Calculator!$C$16),"",A239+1)</f>
        <v>155</v>
      </c>
      <c r="B240" s="3">
        <f t="shared" si="15"/>
        <v>8191.9844352484788</v>
      </c>
      <c r="C240" s="3">
        <f>IF(A240="","",(-PMT(Refinance_Calculator!$C$13/12,Refinance_Calculator!$C$16,Full_Report!$B$86,0,0)))</f>
        <v>125.46601034901943</v>
      </c>
      <c r="D240" s="3">
        <f t="shared" si="16"/>
        <v>54.613229568323163</v>
      </c>
      <c r="E240" s="3">
        <f>IF(A240="","",(-PPMT(Refinance_Calculator!$C$13/12,Full_Report!A240,Refinance_Calculator!$C$16,Full_Report!$B$86,0,0)))</f>
        <v>70.852780780696264</v>
      </c>
      <c r="F240" s="3">
        <f t="shared" si="17"/>
        <v>8121.1316544677829</v>
      </c>
      <c r="G240" s="5">
        <f t="shared" si="13"/>
        <v>6878.8683455322225</v>
      </c>
      <c r="H240" s="5">
        <f t="shared" si="14"/>
        <v>12568.363258565798</v>
      </c>
      <c r="J240"/>
      <c r="K240"/>
      <c r="L240"/>
      <c r="M240"/>
      <c r="O240"/>
      <c r="P240"/>
      <c r="Q240"/>
    </row>
    <row r="241" spans="1:17" ht="14.4" x14ac:dyDescent="0.3">
      <c r="A241" s="1">
        <f>IF(OR(A240="",F240=0,A240=Refinance_Calculator!$C$16),"",A240+1)</f>
        <v>156</v>
      </c>
      <c r="B241" s="3">
        <f t="shared" si="15"/>
        <v>8121.1316544677829</v>
      </c>
      <c r="C241" s="3">
        <f>IF(A241="","",(-PMT(Refinance_Calculator!$C$13/12,Refinance_Calculator!$C$16,Full_Report!$B$86,0,0)))</f>
        <v>125.46601034901943</v>
      </c>
      <c r="D241" s="3">
        <f t="shared" si="16"/>
        <v>54.140877696451852</v>
      </c>
      <c r="E241" s="3">
        <f>IF(A241="","",(-PPMT(Refinance_Calculator!$C$13/12,Full_Report!A241,Refinance_Calculator!$C$16,Full_Report!$B$86,0,0)))</f>
        <v>71.325132652567575</v>
      </c>
      <c r="F241" s="3">
        <f t="shared" si="17"/>
        <v>8049.8065218152151</v>
      </c>
      <c r="G241" s="5">
        <f t="shared" si="13"/>
        <v>6950.1934781847904</v>
      </c>
      <c r="H241" s="5">
        <f t="shared" si="14"/>
        <v>12622.504136262251</v>
      </c>
      <c r="J241"/>
      <c r="K241"/>
      <c r="L241"/>
      <c r="M241"/>
      <c r="O241"/>
      <c r="P241"/>
      <c r="Q241"/>
    </row>
    <row r="242" spans="1:17" ht="14.4" x14ac:dyDescent="0.3">
      <c r="A242" s="1">
        <f>IF(OR(A241="",F241=0,A241=Refinance_Calculator!$C$16),"",A241+1)</f>
        <v>157</v>
      </c>
      <c r="B242" s="3">
        <f t="shared" si="15"/>
        <v>8049.8065218152151</v>
      </c>
      <c r="C242" s="3">
        <f>IF(A242="","",(-PMT(Refinance_Calculator!$C$13/12,Refinance_Calculator!$C$16,Full_Report!$B$86,0,0)))</f>
        <v>125.46601034901943</v>
      </c>
      <c r="D242" s="3">
        <f t="shared" si="16"/>
        <v>53.6653768121014</v>
      </c>
      <c r="E242" s="3">
        <f>IF(A242="","",(-PPMT(Refinance_Calculator!$C$13/12,Full_Report!A242,Refinance_Calculator!$C$16,Full_Report!$B$86,0,0)))</f>
        <v>71.800633536918028</v>
      </c>
      <c r="F242" s="3">
        <f t="shared" si="17"/>
        <v>7978.0058882782969</v>
      </c>
      <c r="G242" s="5">
        <f t="shared" si="13"/>
        <v>7021.9941117217086</v>
      </c>
      <c r="H242" s="5">
        <f t="shared" si="14"/>
        <v>12676.169513074352</v>
      </c>
      <c r="J242"/>
      <c r="K242"/>
      <c r="L242"/>
      <c r="M242"/>
      <c r="O242"/>
      <c r="P242"/>
      <c r="Q242"/>
    </row>
    <row r="243" spans="1:17" ht="14.4" x14ac:dyDescent="0.3">
      <c r="A243" s="1">
        <f>IF(OR(A242="",F242=0,A242=Refinance_Calculator!$C$16),"",A242+1)</f>
        <v>158</v>
      </c>
      <c r="B243" s="3">
        <f t="shared" si="15"/>
        <v>7978.0058882782969</v>
      </c>
      <c r="C243" s="3">
        <f>IF(A243="","",(-PMT(Refinance_Calculator!$C$13/12,Refinance_Calculator!$C$16,Full_Report!$B$86,0,0)))</f>
        <v>125.46601034901943</v>
      </c>
      <c r="D243" s="3">
        <f t="shared" si="16"/>
        <v>53.186705921855292</v>
      </c>
      <c r="E243" s="3">
        <f>IF(A243="","",(-PPMT(Refinance_Calculator!$C$13/12,Full_Report!A243,Refinance_Calculator!$C$16,Full_Report!$B$86,0,0)))</f>
        <v>72.279304427164135</v>
      </c>
      <c r="F243" s="3">
        <f t="shared" si="17"/>
        <v>7905.726583851133</v>
      </c>
      <c r="G243" s="5">
        <f t="shared" si="13"/>
        <v>7094.2734161488725</v>
      </c>
      <c r="H243" s="5">
        <f t="shared" si="14"/>
        <v>12729.356218996207</v>
      </c>
      <c r="J243"/>
      <c r="K243"/>
      <c r="L243"/>
      <c r="M243"/>
      <c r="O243"/>
      <c r="P243"/>
      <c r="Q243"/>
    </row>
    <row r="244" spans="1:17" ht="14.4" x14ac:dyDescent="0.3">
      <c r="A244" s="1">
        <f>IF(OR(A243="",F243=0,A243=Refinance_Calculator!$C$16),"",A243+1)</f>
        <v>159</v>
      </c>
      <c r="B244" s="3">
        <f t="shared" si="15"/>
        <v>7905.726583851133</v>
      </c>
      <c r="C244" s="3">
        <f>IF(A244="","",(-PMT(Refinance_Calculator!$C$13/12,Refinance_Calculator!$C$16,Full_Report!$B$86,0,0)))</f>
        <v>125.46601034901943</v>
      </c>
      <c r="D244" s="3">
        <f t="shared" si="16"/>
        <v>52.704843892340861</v>
      </c>
      <c r="E244" s="3">
        <f>IF(A244="","",(-PPMT(Refinance_Calculator!$C$13/12,Full_Report!A244,Refinance_Calculator!$C$16,Full_Report!$B$86,0,0)))</f>
        <v>72.761166456678566</v>
      </c>
      <c r="F244" s="3">
        <f t="shared" si="17"/>
        <v>7832.9654173944546</v>
      </c>
      <c r="G244" s="5">
        <f t="shared" si="13"/>
        <v>7167.0345826055509</v>
      </c>
      <c r="H244" s="5">
        <f t="shared" si="14"/>
        <v>12782.061062888548</v>
      </c>
      <c r="J244"/>
      <c r="K244"/>
      <c r="L244"/>
      <c r="M244"/>
      <c r="O244"/>
      <c r="P244"/>
      <c r="Q244"/>
    </row>
    <row r="245" spans="1:17" ht="14.4" x14ac:dyDescent="0.3">
      <c r="A245" s="1">
        <f>IF(OR(A244="",F244=0,A244=Refinance_Calculator!$C$16),"",A244+1)</f>
        <v>160</v>
      </c>
      <c r="B245" s="3">
        <f t="shared" si="15"/>
        <v>7832.9654173944546</v>
      </c>
      <c r="C245" s="3">
        <f>IF(A245="","",(-PMT(Refinance_Calculator!$C$13/12,Refinance_Calculator!$C$16,Full_Report!$B$86,0,0)))</f>
        <v>125.46601034901943</v>
      </c>
      <c r="D245" s="3">
        <f t="shared" si="16"/>
        <v>52.219769449296336</v>
      </c>
      <c r="E245" s="3">
        <f>IF(A245="","",(-PPMT(Refinance_Calculator!$C$13/12,Full_Report!A245,Refinance_Calculator!$C$16,Full_Report!$B$86,0,0)))</f>
        <v>73.246240899723091</v>
      </c>
      <c r="F245" s="3">
        <f t="shared" si="17"/>
        <v>7759.7191764947311</v>
      </c>
      <c r="G245" s="5">
        <f t="shared" si="13"/>
        <v>7240.2808235052744</v>
      </c>
      <c r="H245" s="5">
        <f t="shared" si="14"/>
        <v>12834.280832337845</v>
      </c>
      <c r="J245"/>
      <c r="K245"/>
      <c r="L245"/>
      <c r="M245"/>
      <c r="O245"/>
      <c r="P245"/>
      <c r="Q245"/>
    </row>
    <row r="246" spans="1:17" ht="14.4" x14ac:dyDescent="0.3">
      <c r="A246" s="1">
        <f>IF(OR(A245="",F245=0,A245=Refinance_Calculator!$C$16),"",A245+1)</f>
        <v>161</v>
      </c>
      <c r="B246" s="3">
        <f t="shared" si="15"/>
        <v>7759.7191764947311</v>
      </c>
      <c r="C246" s="3">
        <f>IF(A246="","",(-PMT(Refinance_Calculator!$C$13/12,Refinance_Calculator!$C$16,Full_Report!$B$86,0,0)))</f>
        <v>125.46601034901943</v>
      </c>
      <c r="D246" s="3">
        <f t="shared" si="16"/>
        <v>51.731461176631527</v>
      </c>
      <c r="E246" s="3">
        <f>IF(A246="","",(-PPMT(Refinance_Calculator!$C$13/12,Full_Report!A246,Refinance_Calculator!$C$16,Full_Report!$B$86,0,0)))</f>
        <v>73.734549172387901</v>
      </c>
      <c r="F246" s="3">
        <f t="shared" si="17"/>
        <v>7685.9846273223429</v>
      </c>
      <c r="G246" s="5">
        <f t="shared" si="13"/>
        <v>7314.0153726776625</v>
      </c>
      <c r="H246" s="5">
        <f t="shared" si="14"/>
        <v>12886.012293514477</v>
      </c>
      <c r="J246"/>
      <c r="K246"/>
      <c r="L246"/>
      <c r="M246"/>
      <c r="O246"/>
      <c r="P246"/>
      <c r="Q246"/>
    </row>
    <row r="247" spans="1:17" ht="14.4" x14ac:dyDescent="0.3">
      <c r="A247" s="1">
        <f>IF(OR(A246="",F246=0,A246=Refinance_Calculator!$C$16),"",A246+1)</f>
        <v>162</v>
      </c>
      <c r="B247" s="3">
        <f t="shared" si="15"/>
        <v>7685.9846273223429</v>
      </c>
      <c r="C247" s="3">
        <f>IF(A247="","",(-PMT(Refinance_Calculator!$C$13/12,Refinance_Calculator!$C$16,Full_Report!$B$86,0,0)))</f>
        <v>125.46601034901943</v>
      </c>
      <c r="D247" s="3">
        <f t="shared" si="16"/>
        <v>51.239897515482269</v>
      </c>
      <c r="E247" s="3">
        <f>IF(A247="","",(-PPMT(Refinance_Calculator!$C$13/12,Full_Report!A247,Refinance_Calculator!$C$16,Full_Report!$B$86,0,0)))</f>
        <v>74.226112833537158</v>
      </c>
      <c r="F247" s="3">
        <f t="shared" si="17"/>
        <v>7611.7585144888062</v>
      </c>
      <c r="G247" s="5">
        <f t="shared" si="13"/>
        <v>7388.2414855111992</v>
      </c>
      <c r="H247" s="5">
        <f t="shared" si="14"/>
        <v>12937.25219102996</v>
      </c>
      <c r="J247"/>
      <c r="K247"/>
      <c r="L247"/>
      <c r="M247"/>
      <c r="O247"/>
      <c r="P247"/>
      <c r="Q247"/>
    </row>
    <row r="248" spans="1:17" ht="14.4" x14ac:dyDescent="0.3">
      <c r="A248" s="1">
        <f>IF(OR(A247="",F247=0,A247=Refinance_Calculator!$C$16),"",A247+1)</f>
        <v>163</v>
      </c>
      <c r="B248" s="3">
        <f t="shared" si="15"/>
        <v>7611.7585144888062</v>
      </c>
      <c r="C248" s="3">
        <f>IF(A248="","",(-PMT(Refinance_Calculator!$C$13/12,Refinance_Calculator!$C$16,Full_Report!$B$86,0,0)))</f>
        <v>125.46601034901943</v>
      </c>
      <c r="D248" s="3">
        <f t="shared" si="16"/>
        <v>50.745056763258674</v>
      </c>
      <c r="E248" s="3">
        <f>IF(A248="","",(-PPMT(Refinance_Calculator!$C$13/12,Full_Report!A248,Refinance_Calculator!$C$16,Full_Report!$B$86,0,0)))</f>
        <v>74.720953585760753</v>
      </c>
      <c r="F248" s="3">
        <f t="shared" si="17"/>
        <v>7537.0375609030452</v>
      </c>
      <c r="G248" s="5">
        <f t="shared" si="13"/>
        <v>7462.9624390969602</v>
      </c>
      <c r="H248" s="5">
        <f t="shared" si="14"/>
        <v>12987.997247793219</v>
      </c>
      <c r="J248"/>
      <c r="K248"/>
      <c r="L248"/>
      <c r="M248"/>
      <c r="O248"/>
      <c r="P248"/>
      <c r="Q248"/>
    </row>
    <row r="249" spans="1:17" ht="14.4" x14ac:dyDescent="0.3">
      <c r="A249" s="1">
        <f>IF(OR(A248="",F248=0,A248=Refinance_Calculator!$C$16),"",A248+1)</f>
        <v>164</v>
      </c>
      <c r="B249" s="3">
        <f t="shared" si="15"/>
        <v>7537.0375609030452</v>
      </c>
      <c r="C249" s="3">
        <f>IF(A249="","",(-PMT(Refinance_Calculator!$C$13/12,Refinance_Calculator!$C$16,Full_Report!$B$86,0,0)))</f>
        <v>125.46601034901943</v>
      </c>
      <c r="D249" s="3">
        <f t="shared" si="16"/>
        <v>50.246917072686941</v>
      </c>
      <c r="E249" s="3">
        <f>IF(A249="","",(-PPMT(Refinance_Calculator!$C$13/12,Full_Report!A249,Refinance_Calculator!$C$16,Full_Report!$B$86,0,0)))</f>
        <v>75.219093276332487</v>
      </c>
      <c r="F249" s="3">
        <f t="shared" si="17"/>
        <v>7461.8184676267128</v>
      </c>
      <c r="G249" s="5">
        <f t="shared" si="13"/>
        <v>7538.1815323732926</v>
      </c>
      <c r="H249" s="5">
        <f t="shared" si="14"/>
        <v>13038.244164865906</v>
      </c>
      <c r="J249"/>
      <c r="K249"/>
      <c r="L249"/>
      <c r="M249"/>
      <c r="O249"/>
      <c r="P249"/>
      <c r="Q249"/>
    </row>
    <row r="250" spans="1:17" ht="14.4" x14ac:dyDescent="0.3">
      <c r="A250" s="1">
        <f>IF(OR(A249="",F249=0,A249=Refinance_Calculator!$C$16),"",A249+1)</f>
        <v>165</v>
      </c>
      <c r="B250" s="3">
        <f t="shared" si="15"/>
        <v>7461.8184676267128</v>
      </c>
      <c r="C250" s="3">
        <f>IF(A250="","",(-PMT(Refinance_Calculator!$C$13/12,Refinance_Calculator!$C$16,Full_Report!$B$86,0,0)))</f>
        <v>125.46601034901943</v>
      </c>
      <c r="D250" s="3">
        <f t="shared" si="16"/>
        <v>49.745456450844728</v>
      </c>
      <c r="E250" s="3">
        <f>IF(A250="","",(-PPMT(Refinance_Calculator!$C$13/12,Full_Report!A250,Refinance_Calculator!$C$16,Full_Report!$B$86,0,0)))</f>
        <v>75.7205538981747</v>
      </c>
      <c r="F250" s="3">
        <f t="shared" si="17"/>
        <v>7386.0979137285385</v>
      </c>
      <c r="G250" s="5">
        <f t="shared" si="13"/>
        <v>7613.9020862714669</v>
      </c>
      <c r="H250" s="5">
        <f t="shared" si="14"/>
        <v>13087.98962131675</v>
      </c>
      <c r="J250"/>
      <c r="K250"/>
      <c r="L250"/>
      <c r="M250"/>
      <c r="O250"/>
      <c r="P250"/>
      <c r="Q250"/>
    </row>
    <row r="251" spans="1:17" ht="14.4" x14ac:dyDescent="0.3">
      <c r="A251" s="1">
        <f>IF(OR(A250="",F250=0,A250=Refinance_Calculator!$C$16),"",A250+1)</f>
        <v>166</v>
      </c>
      <c r="B251" s="3">
        <f t="shared" si="15"/>
        <v>7386.0979137285385</v>
      </c>
      <c r="C251" s="3">
        <f>IF(A251="","",(-PMT(Refinance_Calculator!$C$13/12,Refinance_Calculator!$C$16,Full_Report!$B$86,0,0)))</f>
        <v>125.46601034901943</v>
      </c>
      <c r="D251" s="3">
        <f t="shared" si="16"/>
        <v>49.240652758190222</v>
      </c>
      <c r="E251" s="3">
        <f>IF(A251="","",(-PPMT(Refinance_Calculator!$C$13/12,Full_Report!A251,Refinance_Calculator!$C$16,Full_Report!$B$86,0,0)))</f>
        <v>76.225357590829205</v>
      </c>
      <c r="F251" s="3">
        <f t="shared" si="17"/>
        <v>7309.8725561377096</v>
      </c>
      <c r="G251" s="5">
        <f t="shared" si="13"/>
        <v>7690.1274438622959</v>
      </c>
      <c r="H251" s="5">
        <f t="shared" si="14"/>
        <v>13137.23027407494</v>
      </c>
      <c r="J251"/>
      <c r="K251"/>
      <c r="L251"/>
      <c r="M251"/>
      <c r="O251"/>
      <c r="P251"/>
      <c r="Q251"/>
    </row>
    <row r="252" spans="1:17" ht="14.4" x14ac:dyDescent="0.3">
      <c r="A252" s="1">
        <f>IF(OR(A251="",F251=0,A251=Refinance_Calculator!$C$16),"",A251+1)</f>
        <v>167</v>
      </c>
      <c r="B252" s="3">
        <f t="shared" si="15"/>
        <v>7309.8725561377096</v>
      </c>
      <c r="C252" s="3">
        <f>IF(A252="","",(-PMT(Refinance_Calculator!$C$13/12,Refinance_Calculator!$C$16,Full_Report!$B$86,0,0)))</f>
        <v>125.46601034901943</v>
      </c>
      <c r="D252" s="3">
        <f t="shared" si="16"/>
        <v>48.732483707584706</v>
      </c>
      <c r="E252" s="3">
        <f>IF(A252="","",(-PPMT(Refinance_Calculator!$C$13/12,Full_Report!A252,Refinance_Calculator!$C$16,Full_Report!$B$86,0,0)))</f>
        <v>76.733526641434722</v>
      </c>
      <c r="F252" s="3">
        <f t="shared" si="17"/>
        <v>7233.1390294962748</v>
      </c>
      <c r="G252" s="5">
        <f t="shared" si="13"/>
        <v>7766.8609705037306</v>
      </c>
      <c r="H252" s="5">
        <f t="shared" si="14"/>
        <v>13185.962757782525</v>
      </c>
      <c r="J252"/>
      <c r="K252"/>
      <c r="L252"/>
      <c r="M252"/>
      <c r="O252"/>
      <c r="P252"/>
      <c r="Q252"/>
    </row>
    <row r="253" spans="1:17" ht="14.4" x14ac:dyDescent="0.3">
      <c r="A253" s="1">
        <f>IF(OR(A252="",F252=0,A252=Refinance_Calculator!$C$16),"",A252+1)</f>
        <v>168</v>
      </c>
      <c r="B253" s="3">
        <f t="shared" si="15"/>
        <v>7233.1390294962748</v>
      </c>
      <c r="C253" s="3">
        <f>IF(A253="","",(-PMT(Refinance_Calculator!$C$13/12,Refinance_Calculator!$C$16,Full_Report!$B$86,0,0)))</f>
        <v>125.46601034901943</v>
      </c>
      <c r="D253" s="3">
        <f t="shared" si="16"/>
        <v>48.220926863308463</v>
      </c>
      <c r="E253" s="3">
        <f>IF(A253="","",(-PPMT(Refinance_Calculator!$C$13/12,Full_Report!A253,Refinance_Calculator!$C$16,Full_Report!$B$86,0,0)))</f>
        <v>77.245083485710964</v>
      </c>
      <c r="F253" s="3">
        <f t="shared" si="17"/>
        <v>7155.8939460105639</v>
      </c>
      <c r="G253" s="5">
        <f t="shared" si="13"/>
        <v>7844.1060539894415</v>
      </c>
      <c r="H253" s="5">
        <f t="shared" si="14"/>
        <v>13234.183684645834</v>
      </c>
      <c r="J253"/>
      <c r="K253"/>
      <c r="L253"/>
      <c r="M253"/>
      <c r="O253"/>
      <c r="P253"/>
      <c r="Q253"/>
    </row>
    <row r="254" spans="1:17" ht="14.4" x14ac:dyDescent="0.3">
      <c r="A254" s="1">
        <f>IF(OR(A253="",F253=0,A253=Refinance_Calculator!$C$16),"",A253+1)</f>
        <v>169</v>
      </c>
      <c r="B254" s="3">
        <f t="shared" si="15"/>
        <v>7155.8939460105639</v>
      </c>
      <c r="C254" s="3">
        <f>IF(A254="","",(-PMT(Refinance_Calculator!$C$13/12,Refinance_Calculator!$C$16,Full_Report!$B$86,0,0)))</f>
        <v>125.46601034901943</v>
      </c>
      <c r="D254" s="3">
        <f t="shared" si="16"/>
        <v>47.70595964007039</v>
      </c>
      <c r="E254" s="3">
        <f>IF(A254="","",(-PPMT(Refinance_Calculator!$C$13/12,Full_Report!A254,Refinance_Calculator!$C$16,Full_Report!$B$86,0,0)))</f>
        <v>77.760050708949038</v>
      </c>
      <c r="F254" s="3">
        <f t="shared" si="17"/>
        <v>7078.1338953016148</v>
      </c>
      <c r="G254" s="5">
        <f t="shared" si="13"/>
        <v>7921.8661046983907</v>
      </c>
      <c r="H254" s="5">
        <f t="shared" si="14"/>
        <v>13281.889644285904</v>
      </c>
      <c r="J254"/>
      <c r="K254"/>
      <c r="L254"/>
      <c r="M254"/>
      <c r="O254"/>
      <c r="P254"/>
      <c r="Q254"/>
    </row>
    <row r="255" spans="1:17" ht="14.4" x14ac:dyDescent="0.3">
      <c r="A255" s="1">
        <f>IF(OR(A254="",F254=0,A254=Refinance_Calculator!$C$16),"",A254+1)</f>
        <v>170</v>
      </c>
      <c r="B255" s="3">
        <f t="shared" si="15"/>
        <v>7078.1338953016148</v>
      </c>
      <c r="C255" s="3">
        <f>IF(A255="","",(-PMT(Refinance_Calculator!$C$13/12,Refinance_Calculator!$C$16,Full_Report!$B$86,0,0)))</f>
        <v>125.46601034901943</v>
      </c>
      <c r="D255" s="3">
        <f t="shared" si="16"/>
        <v>47.18755930201074</v>
      </c>
      <c r="E255" s="3">
        <f>IF(A255="","",(-PPMT(Refinance_Calculator!$C$13/12,Full_Report!A255,Refinance_Calculator!$C$16,Full_Report!$B$86,0,0)))</f>
        <v>78.278451047008687</v>
      </c>
      <c r="F255" s="3">
        <f t="shared" si="17"/>
        <v>6999.8554442546065</v>
      </c>
      <c r="G255" s="5">
        <f t="shared" si="13"/>
        <v>8000.144555745399</v>
      </c>
      <c r="H255" s="5">
        <f t="shared" si="14"/>
        <v>13329.077203587914</v>
      </c>
      <c r="J255"/>
      <c r="K255"/>
      <c r="L255"/>
      <c r="M255"/>
      <c r="O255"/>
      <c r="P255"/>
      <c r="Q255"/>
    </row>
    <row r="256" spans="1:17" ht="14.4" x14ac:dyDescent="0.3">
      <c r="A256" s="1">
        <f>IF(OR(A255="",F255=0,A255=Refinance_Calculator!$C$16),"",A255+1)</f>
        <v>171</v>
      </c>
      <c r="B256" s="3">
        <f t="shared" si="15"/>
        <v>6999.8554442546065</v>
      </c>
      <c r="C256" s="3">
        <f>IF(A256="","",(-PMT(Refinance_Calculator!$C$13/12,Refinance_Calculator!$C$16,Full_Report!$B$86,0,0)))</f>
        <v>125.46601034901943</v>
      </c>
      <c r="D256" s="3">
        <f t="shared" si="16"/>
        <v>46.665702961697349</v>
      </c>
      <c r="E256" s="3">
        <f>IF(A256="","",(-PPMT(Refinance_Calculator!$C$13/12,Full_Report!A256,Refinance_Calculator!$C$16,Full_Report!$B$86,0,0)))</f>
        <v>78.800307387322079</v>
      </c>
      <c r="F256" s="3">
        <f t="shared" si="17"/>
        <v>6921.0551368672841</v>
      </c>
      <c r="G256" s="5">
        <f t="shared" si="13"/>
        <v>8078.9448631327214</v>
      </c>
      <c r="H256" s="5">
        <f t="shared" si="14"/>
        <v>13375.742906549613</v>
      </c>
      <c r="J256"/>
      <c r="K256"/>
      <c r="L256"/>
      <c r="M256"/>
      <c r="O256"/>
      <c r="P256"/>
      <c r="Q256"/>
    </row>
    <row r="257" spans="1:17" ht="14.4" x14ac:dyDescent="0.3">
      <c r="A257" s="1">
        <f>IF(OR(A256="",F256=0,A256=Refinance_Calculator!$C$16),"",A256+1)</f>
        <v>172</v>
      </c>
      <c r="B257" s="3">
        <f t="shared" si="15"/>
        <v>6921.0551368672841</v>
      </c>
      <c r="C257" s="3">
        <f>IF(A257="","",(-PMT(Refinance_Calculator!$C$13/12,Refinance_Calculator!$C$16,Full_Report!$B$86,0,0)))</f>
        <v>125.46601034901943</v>
      </c>
      <c r="D257" s="3">
        <f t="shared" si="16"/>
        <v>46.140367579115193</v>
      </c>
      <c r="E257" s="3">
        <f>IF(A257="","",(-PPMT(Refinance_Calculator!$C$13/12,Full_Report!A257,Refinance_Calculator!$C$16,Full_Report!$B$86,0,0)))</f>
        <v>79.325642769904235</v>
      </c>
      <c r="F257" s="3">
        <f t="shared" si="17"/>
        <v>6841.7294940973798</v>
      </c>
      <c r="G257" s="5">
        <f t="shared" si="13"/>
        <v>8158.2705059026257</v>
      </c>
      <c r="H257" s="5">
        <f t="shared" si="14"/>
        <v>13421.883274128728</v>
      </c>
      <c r="J257"/>
      <c r="K257"/>
      <c r="L257"/>
      <c r="M257"/>
      <c r="O257"/>
      <c r="P257"/>
      <c r="Q257"/>
    </row>
    <row r="258" spans="1:17" ht="14.4" x14ac:dyDescent="0.3">
      <c r="A258" s="1">
        <f>IF(OR(A257="",F257=0,A257=Refinance_Calculator!$C$16),"",A257+1)</f>
        <v>173</v>
      </c>
      <c r="B258" s="3">
        <f t="shared" si="15"/>
        <v>6841.7294940973798</v>
      </c>
      <c r="C258" s="3">
        <f>IF(A258="","",(-PMT(Refinance_Calculator!$C$13/12,Refinance_Calculator!$C$16,Full_Report!$B$86,0,0)))</f>
        <v>125.46601034901943</v>
      </c>
      <c r="D258" s="3">
        <f t="shared" si="16"/>
        <v>45.611529960649165</v>
      </c>
      <c r="E258" s="3">
        <f>IF(A258="","",(-PPMT(Refinance_Calculator!$C$13/12,Full_Report!A258,Refinance_Calculator!$C$16,Full_Report!$B$86,0,0)))</f>
        <v>79.854480388370263</v>
      </c>
      <c r="F258" s="3">
        <f t="shared" si="17"/>
        <v>6761.8750137090092</v>
      </c>
      <c r="G258" s="5">
        <f t="shared" si="13"/>
        <v>8238.1249862909954</v>
      </c>
      <c r="H258" s="5">
        <f t="shared" si="14"/>
        <v>13467.494804089378</v>
      </c>
      <c r="J258"/>
      <c r="K258"/>
      <c r="L258"/>
      <c r="M258"/>
      <c r="O258"/>
      <c r="P258"/>
      <c r="Q258"/>
    </row>
    <row r="259" spans="1:17" ht="14.4" x14ac:dyDescent="0.3">
      <c r="A259" s="1">
        <f>IF(OR(A258="",F258=0,A258=Refinance_Calculator!$C$16),"",A258+1)</f>
        <v>174</v>
      </c>
      <c r="B259" s="3">
        <f t="shared" si="15"/>
        <v>6761.8750137090092</v>
      </c>
      <c r="C259" s="3">
        <f>IF(A259="","",(-PMT(Refinance_Calculator!$C$13/12,Refinance_Calculator!$C$16,Full_Report!$B$86,0,0)))</f>
        <v>125.46601034901943</v>
      </c>
      <c r="D259" s="3">
        <f t="shared" si="16"/>
        <v>45.07916675806004</v>
      </c>
      <c r="E259" s="3">
        <f>IF(A259="","",(-PPMT(Refinance_Calculator!$C$13/12,Full_Report!A259,Refinance_Calculator!$C$16,Full_Report!$B$86,0,0)))</f>
        <v>80.386843590959387</v>
      </c>
      <c r="F259" s="3">
        <f t="shared" si="17"/>
        <v>6681.4881701180502</v>
      </c>
      <c r="G259" s="5">
        <f t="shared" si="13"/>
        <v>8318.5118298819543</v>
      </c>
      <c r="H259" s="5">
        <f t="shared" si="14"/>
        <v>13512.573970847438</v>
      </c>
      <c r="J259"/>
      <c r="K259"/>
      <c r="L259"/>
      <c r="M259"/>
      <c r="O259"/>
      <c r="P259"/>
      <c r="Q259"/>
    </row>
    <row r="260" spans="1:17" ht="14.4" x14ac:dyDescent="0.3">
      <c r="A260" s="1">
        <f>IF(OR(A259="",F259=0,A259=Refinance_Calculator!$C$16),"",A259+1)</f>
        <v>175</v>
      </c>
      <c r="B260" s="3">
        <f t="shared" si="15"/>
        <v>6681.4881701180502</v>
      </c>
      <c r="C260" s="3">
        <f>IF(A260="","",(-PMT(Refinance_Calculator!$C$13/12,Refinance_Calculator!$C$16,Full_Report!$B$86,0,0)))</f>
        <v>125.46601034901943</v>
      </c>
      <c r="D260" s="3">
        <f t="shared" si="16"/>
        <v>44.54325446745365</v>
      </c>
      <c r="E260" s="3">
        <f>IF(A260="","",(-PPMT(Refinance_Calculator!$C$13/12,Full_Report!A260,Refinance_Calculator!$C$16,Full_Report!$B$86,0,0)))</f>
        <v>80.922755881565777</v>
      </c>
      <c r="F260" s="3">
        <f t="shared" si="17"/>
        <v>6600.5654142364847</v>
      </c>
      <c r="G260" s="5">
        <f t="shared" si="13"/>
        <v>8399.4345857635199</v>
      </c>
      <c r="H260" s="5">
        <f t="shared" si="14"/>
        <v>13557.117225314891</v>
      </c>
      <c r="J260"/>
      <c r="K260"/>
      <c r="L260"/>
      <c r="M260"/>
      <c r="O260"/>
      <c r="P260"/>
      <c r="Q260"/>
    </row>
    <row r="261" spans="1:17" ht="14.4" x14ac:dyDescent="0.3">
      <c r="A261" s="1">
        <f>IF(OR(A260="",F260=0,A260=Refinance_Calculator!$C$16),"",A260+1)</f>
        <v>176</v>
      </c>
      <c r="B261" s="3">
        <f t="shared" si="15"/>
        <v>6600.5654142364847</v>
      </c>
      <c r="C261" s="3">
        <f>IF(A261="","",(-PMT(Refinance_Calculator!$C$13/12,Refinance_Calculator!$C$16,Full_Report!$B$86,0,0)))</f>
        <v>125.46601034901943</v>
      </c>
      <c r="D261" s="3">
        <f t="shared" si="16"/>
        <v>44.003769428243189</v>
      </c>
      <c r="E261" s="3">
        <f>IF(A261="","",(-PPMT(Refinance_Calculator!$C$13/12,Full_Report!A261,Refinance_Calculator!$C$16,Full_Report!$B$86,0,0)))</f>
        <v>81.462240920776239</v>
      </c>
      <c r="F261" s="3">
        <f t="shared" si="17"/>
        <v>6519.1031733157088</v>
      </c>
      <c r="G261" s="5">
        <f t="shared" si="13"/>
        <v>8480.8968266842967</v>
      </c>
      <c r="H261" s="5">
        <f t="shared" si="14"/>
        <v>13601.120994743134</v>
      </c>
      <c r="J261"/>
      <c r="K261"/>
      <c r="L261"/>
      <c r="M261"/>
      <c r="O261"/>
      <c r="P261"/>
      <c r="Q261"/>
    </row>
    <row r="262" spans="1:17" ht="14.4" x14ac:dyDescent="0.3">
      <c r="A262" s="1">
        <f>IF(OR(A261="",F261=0,A261=Refinance_Calculator!$C$16),"",A261+1)</f>
        <v>177</v>
      </c>
      <c r="B262" s="3">
        <f t="shared" si="15"/>
        <v>6519.1031733157088</v>
      </c>
      <c r="C262" s="3">
        <f>IF(A262="","",(-PMT(Refinance_Calculator!$C$13/12,Refinance_Calculator!$C$16,Full_Report!$B$86,0,0)))</f>
        <v>125.46601034901943</v>
      </c>
      <c r="D262" s="3">
        <f t="shared" si="16"/>
        <v>43.460687822104688</v>
      </c>
      <c r="E262" s="3">
        <f>IF(A262="","",(-PPMT(Refinance_Calculator!$C$13/12,Full_Report!A262,Refinance_Calculator!$C$16,Full_Report!$B$86,0,0)))</f>
        <v>82.005322526914739</v>
      </c>
      <c r="F262" s="3">
        <f t="shared" si="17"/>
        <v>6437.0978507887939</v>
      </c>
      <c r="G262" s="5">
        <f t="shared" si="13"/>
        <v>8562.9021492112115</v>
      </c>
      <c r="H262" s="5">
        <f t="shared" si="14"/>
        <v>13644.581682565238</v>
      </c>
      <c r="J262"/>
      <c r="K262"/>
      <c r="L262"/>
      <c r="M262"/>
      <c r="O262"/>
      <c r="P262"/>
      <c r="Q262"/>
    </row>
    <row r="263" spans="1:17" ht="14.4" x14ac:dyDescent="0.3">
      <c r="A263" s="1">
        <f>IF(OR(A262="",F262=0,A262=Refinance_Calculator!$C$16),"",A262+1)</f>
        <v>178</v>
      </c>
      <c r="B263" s="3">
        <f t="shared" si="15"/>
        <v>6437.0978507887939</v>
      </c>
      <c r="C263" s="3">
        <f>IF(A263="","",(-PMT(Refinance_Calculator!$C$13/12,Refinance_Calculator!$C$16,Full_Report!$B$86,0,0)))</f>
        <v>125.46601034901943</v>
      </c>
      <c r="D263" s="3">
        <f t="shared" si="16"/>
        <v>42.913985671925261</v>
      </c>
      <c r="E263" s="3">
        <f>IF(A263="","",(-PPMT(Refinance_Calculator!$C$13/12,Full_Report!A263,Refinance_Calculator!$C$16,Full_Report!$B$86,0,0)))</f>
        <v>82.552024677094167</v>
      </c>
      <c r="F263" s="3">
        <f t="shared" si="17"/>
        <v>6354.5458261117001</v>
      </c>
      <c r="G263" s="5">
        <f t="shared" si="13"/>
        <v>8645.4541738883054</v>
      </c>
      <c r="H263" s="5">
        <f t="shared" si="14"/>
        <v>13687.495668237163</v>
      </c>
      <c r="J263"/>
      <c r="K263"/>
      <c r="L263"/>
      <c r="M263"/>
      <c r="O263"/>
      <c r="P263"/>
      <c r="Q263"/>
    </row>
    <row r="264" spans="1:17" ht="14.4" x14ac:dyDescent="0.3">
      <c r="A264" s="1">
        <f>IF(OR(A263="",F263=0,A263=Refinance_Calculator!$C$16),"",A263+1)</f>
        <v>179</v>
      </c>
      <c r="B264" s="3">
        <f t="shared" si="15"/>
        <v>6354.5458261117001</v>
      </c>
      <c r="C264" s="3">
        <f>IF(A264="","",(-PMT(Refinance_Calculator!$C$13/12,Refinance_Calculator!$C$16,Full_Report!$B$86,0,0)))</f>
        <v>125.46601034901943</v>
      </c>
      <c r="D264" s="3">
        <f t="shared" si="16"/>
        <v>42.363638840744642</v>
      </c>
      <c r="E264" s="3">
        <f>IF(A264="","",(-PPMT(Refinance_Calculator!$C$13/12,Full_Report!A264,Refinance_Calculator!$C$16,Full_Report!$B$86,0,0)))</f>
        <v>83.102371508274786</v>
      </c>
      <c r="F264" s="3">
        <f t="shared" si="17"/>
        <v>6271.4434546034254</v>
      </c>
      <c r="G264" s="5">
        <f t="shared" si="13"/>
        <v>8728.556545396581</v>
      </c>
      <c r="H264" s="5">
        <f t="shared" si="14"/>
        <v>13729.859307077908</v>
      </c>
      <c r="J264"/>
      <c r="K264"/>
      <c r="L264"/>
      <c r="M264"/>
      <c r="O264"/>
      <c r="P264"/>
      <c r="Q264"/>
    </row>
    <row r="265" spans="1:17" ht="14.4" x14ac:dyDescent="0.3">
      <c r="A265" s="1">
        <f>IF(OR(A264="",F264=0,A264=Refinance_Calculator!$C$16),"",A264+1)</f>
        <v>180</v>
      </c>
      <c r="B265" s="3">
        <f t="shared" si="15"/>
        <v>6271.4434546034254</v>
      </c>
      <c r="C265" s="3">
        <f>IF(A265="","",(-PMT(Refinance_Calculator!$C$13/12,Refinance_Calculator!$C$16,Full_Report!$B$86,0,0)))</f>
        <v>125.46601034901943</v>
      </c>
      <c r="D265" s="3">
        <f t="shared" si="16"/>
        <v>41.809623030689465</v>
      </c>
      <c r="E265" s="3">
        <f>IF(A265="","",(-PPMT(Refinance_Calculator!$C$13/12,Full_Report!A265,Refinance_Calculator!$C$16,Full_Report!$B$86,0,0)))</f>
        <v>83.656387318329962</v>
      </c>
      <c r="F265" s="3">
        <f t="shared" si="17"/>
        <v>6187.787067285095</v>
      </c>
      <c r="G265" s="5">
        <f t="shared" si="13"/>
        <v>8812.2129327149105</v>
      </c>
      <c r="H265" s="5">
        <f t="shared" si="14"/>
        <v>13771.668930108597</v>
      </c>
      <c r="J265"/>
      <c r="K265"/>
      <c r="L265"/>
      <c r="M265"/>
      <c r="O265"/>
      <c r="P265"/>
      <c r="Q265"/>
    </row>
    <row r="266" spans="1:17" ht="14.4" x14ac:dyDescent="0.3">
      <c r="A266" s="1">
        <f>IF(OR(A265="",F265=0,A265=Refinance_Calculator!$C$16),"",A265+1)</f>
        <v>181</v>
      </c>
      <c r="B266" s="3">
        <f t="shared" si="15"/>
        <v>6187.787067285095</v>
      </c>
      <c r="C266" s="3">
        <f>IF(A266="","",(-PMT(Refinance_Calculator!$C$13/12,Refinance_Calculator!$C$16,Full_Report!$B$86,0,0)))</f>
        <v>125.46601034901943</v>
      </c>
      <c r="D266" s="3">
        <f t="shared" si="16"/>
        <v>41.251913781900583</v>
      </c>
      <c r="E266" s="3">
        <f>IF(A266="","",(-PPMT(Refinance_Calculator!$C$13/12,Full_Report!A266,Refinance_Calculator!$C$16,Full_Report!$B$86,0,0)))</f>
        <v>84.214096567118844</v>
      </c>
      <c r="F266" s="3">
        <f t="shared" si="17"/>
        <v>6103.5729707179762</v>
      </c>
      <c r="G266" s="5">
        <f t="shared" si="13"/>
        <v>8896.4270292820293</v>
      </c>
      <c r="H266" s="5">
        <f t="shared" si="14"/>
        <v>13812.920843890497</v>
      </c>
      <c r="J266"/>
      <c r="K266"/>
      <c r="L266"/>
      <c r="M266"/>
      <c r="O266"/>
      <c r="P266"/>
      <c r="Q266"/>
    </row>
    <row r="267" spans="1:17" ht="14.4" x14ac:dyDescent="0.3">
      <c r="A267" s="1">
        <f>IF(OR(A266="",F266=0,A266=Refinance_Calculator!$C$16),"",A266+1)</f>
        <v>182</v>
      </c>
      <c r="B267" s="3">
        <f t="shared" si="15"/>
        <v>6103.5729707179762</v>
      </c>
      <c r="C267" s="3">
        <f>IF(A267="","",(-PMT(Refinance_Calculator!$C$13/12,Refinance_Calculator!$C$16,Full_Report!$B$86,0,0)))</f>
        <v>125.46601034901943</v>
      </c>
      <c r="D267" s="3">
        <f t="shared" si="16"/>
        <v>40.690486471453141</v>
      </c>
      <c r="E267" s="3">
        <f>IF(A267="","",(-PPMT(Refinance_Calculator!$C$13/12,Full_Report!A267,Refinance_Calculator!$C$16,Full_Report!$B$86,0,0)))</f>
        <v>84.775523877566286</v>
      </c>
      <c r="F267" s="3">
        <f t="shared" si="17"/>
        <v>6018.79744684041</v>
      </c>
      <c r="G267" s="5">
        <f t="shared" si="13"/>
        <v>8981.2025531595955</v>
      </c>
      <c r="H267" s="5">
        <f t="shared" si="14"/>
        <v>13853.61133036195</v>
      </c>
      <c r="J267"/>
      <c r="K267"/>
      <c r="L267"/>
      <c r="M267"/>
      <c r="O267"/>
      <c r="P267"/>
      <c r="Q267"/>
    </row>
    <row r="268" spans="1:17" ht="14.4" x14ac:dyDescent="0.3">
      <c r="A268" s="1">
        <f>IF(OR(A267="",F267=0,A267=Refinance_Calculator!$C$16),"",A267+1)</f>
        <v>183</v>
      </c>
      <c r="B268" s="3">
        <f t="shared" si="15"/>
        <v>6018.79744684041</v>
      </c>
      <c r="C268" s="3">
        <f>IF(A268="","",(-PMT(Refinance_Calculator!$C$13/12,Refinance_Calculator!$C$16,Full_Report!$B$86,0,0)))</f>
        <v>125.46601034901943</v>
      </c>
      <c r="D268" s="3">
        <f t="shared" si="16"/>
        <v>40.125316312269362</v>
      </c>
      <c r="E268" s="3">
        <f>IF(A268="","",(-PPMT(Refinance_Calculator!$C$13/12,Full_Report!A268,Refinance_Calculator!$C$16,Full_Report!$B$86,0,0)))</f>
        <v>85.340694036750065</v>
      </c>
      <c r="F268" s="3">
        <f t="shared" si="17"/>
        <v>5933.4567528036596</v>
      </c>
      <c r="G268" s="5">
        <f t="shared" si="13"/>
        <v>9066.543247196345</v>
      </c>
      <c r="H268" s="5">
        <f t="shared" si="14"/>
        <v>13893.736646674219</v>
      </c>
      <c r="J268"/>
      <c r="K268"/>
      <c r="L268"/>
      <c r="M268"/>
      <c r="O268"/>
      <c r="P268"/>
      <c r="Q268"/>
    </row>
    <row r="269" spans="1:17" ht="14.4" x14ac:dyDescent="0.3">
      <c r="A269" s="1">
        <f>IF(OR(A268="",F268=0,A268=Refinance_Calculator!$C$16),"",A268+1)</f>
        <v>184</v>
      </c>
      <c r="B269" s="3">
        <f t="shared" si="15"/>
        <v>5933.4567528036596</v>
      </c>
      <c r="C269" s="3">
        <f>IF(A269="","",(-PMT(Refinance_Calculator!$C$13/12,Refinance_Calculator!$C$16,Full_Report!$B$86,0,0)))</f>
        <v>125.46601034901943</v>
      </c>
      <c r="D269" s="3">
        <f t="shared" si="16"/>
        <v>39.556378352024367</v>
      </c>
      <c r="E269" s="3">
        <f>IF(A269="","",(-PPMT(Refinance_Calculator!$C$13/12,Full_Report!A269,Refinance_Calculator!$C$16,Full_Report!$B$86,0,0)))</f>
        <v>85.90963199699506</v>
      </c>
      <c r="F269" s="3">
        <f t="shared" si="17"/>
        <v>5847.5471208066647</v>
      </c>
      <c r="G269" s="5">
        <f t="shared" si="13"/>
        <v>9152.4528791933408</v>
      </c>
      <c r="H269" s="5">
        <f t="shared" si="14"/>
        <v>13933.293025026243</v>
      </c>
      <c r="J269"/>
      <c r="K269"/>
      <c r="L269"/>
      <c r="M269"/>
      <c r="O269"/>
      <c r="P269"/>
      <c r="Q269"/>
    </row>
    <row r="270" spans="1:17" ht="14.4" x14ac:dyDescent="0.3">
      <c r="A270" s="1">
        <f>IF(OR(A269="",F269=0,A269=Refinance_Calculator!$C$16),"",A269+1)</f>
        <v>185</v>
      </c>
      <c r="B270" s="3">
        <f t="shared" si="15"/>
        <v>5847.5471208066647</v>
      </c>
      <c r="C270" s="3">
        <f>IF(A270="","",(-PMT(Refinance_Calculator!$C$13/12,Refinance_Calculator!$C$16,Full_Report!$B$86,0,0)))</f>
        <v>125.46601034901943</v>
      </c>
      <c r="D270" s="3">
        <f t="shared" si="16"/>
        <v>38.983647472044382</v>
      </c>
      <c r="E270" s="3">
        <f>IF(A270="","",(-PPMT(Refinance_Calculator!$C$13/12,Full_Report!A270,Refinance_Calculator!$C$16,Full_Report!$B$86,0,0)))</f>
        <v>86.482362876975046</v>
      </c>
      <c r="F270" s="3">
        <f t="shared" si="17"/>
        <v>5761.0647579296892</v>
      </c>
      <c r="G270" s="5">
        <f t="shared" si="13"/>
        <v>9238.9352420703162</v>
      </c>
      <c r="H270" s="5">
        <f t="shared" si="14"/>
        <v>13972.276672498288</v>
      </c>
      <c r="J270"/>
      <c r="K270"/>
      <c r="L270"/>
      <c r="M270"/>
      <c r="O270"/>
      <c r="P270"/>
      <c r="Q270"/>
    </row>
    <row r="271" spans="1:17" ht="14.4" x14ac:dyDescent="0.3">
      <c r="A271" s="1">
        <f>IF(OR(A270="",F270=0,A270=Refinance_Calculator!$C$16),"",A270+1)</f>
        <v>186</v>
      </c>
      <c r="B271" s="3">
        <f t="shared" si="15"/>
        <v>5761.0647579296892</v>
      </c>
      <c r="C271" s="3">
        <f>IF(A271="","",(-PMT(Refinance_Calculator!$C$13/12,Refinance_Calculator!$C$16,Full_Report!$B$86,0,0)))</f>
        <v>125.46601034901943</v>
      </c>
      <c r="D271" s="3">
        <f t="shared" si="16"/>
        <v>38.407098386197902</v>
      </c>
      <c r="E271" s="3">
        <f>IF(A271="","",(-PPMT(Refinance_Calculator!$C$13/12,Full_Report!A271,Refinance_Calculator!$C$16,Full_Report!$B$86,0,0)))</f>
        <v>87.058911962821526</v>
      </c>
      <c r="F271" s="3">
        <f t="shared" si="17"/>
        <v>5674.005845966868</v>
      </c>
      <c r="G271" s="5">
        <f t="shared" si="13"/>
        <v>9325.9941540331383</v>
      </c>
      <c r="H271" s="5">
        <f t="shared" si="14"/>
        <v>14010.683770884487</v>
      </c>
      <c r="J271"/>
      <c r="K271"/>
      <c r="L271"/>
      <c r="M271"/>
      <c r="O271"/>
      <c r="P271"/>
      <c r="Q271"/>
    </row>
    <row r="272" spans="1:17" ht="14.4" x14ac:dyDescent="0.3">
      <c r="A272" s="1">
        <f>IF(OR(A271="",F271=0,A271=Refinance_Calculator!$C$16),"",A271+1)</f>
        <v>187</v>
      </c>
      <c r="B272" s="3">
        <f t="shared" si="15"/>
        <v>5674.005845966868</v>
      </c>
      <c r="C272" s="3">
        <f>IF(A272="","",(-PMT(Refinance_Calculator!$C$13/12,Refinance_Calculator!$C$16,Full_Report!$B$86,0,0)))</f>
        <v>125.46601034901943</v>
      </c>
      <c r="D272" s="3">
        <f t="shared" si="16"/>
        <v>37.826705639779078</v>
      </c>
      <c r="E272" s="3">
        <f>IF(A272="","",(-PPMT(Refinance_Calculator!$C$13/12,Full_Report!A272,Refinance_Calculator!$C$16,Full_Report!$B$86,0,0)))</f>
        <v>87.639304709240349</v>
      </c>
      <c r="F272" s="3">
        <f t="shared" si="17"/>
        <v>5586.3665412576274</v>
      </c>
      <c r="G272" s="5">
        <f t="shared" si="13"/>
        <v>9413.6334587423789</v>
      </c>
      <c r="H272" s="5">
        <f t="shared" si="14"/>
        <v>14048.510476524267</v>
      </c>
      <c r="J272"/>
      <c r="K272"/>
      <c r="L272"/>
      <c r="M272"/>
      <c r="O272"/>
      <c r="P272"/>
      <c r="Q272"/>
    </row>
    <row r="273" spans="1:17" ht="14.4" x14ac:dyDescent="0.3">
      <c r="A273" s="1">
        <f>IF(OR(A272="",F272=0,A272=Refinance_Calculator!$C$16),"",A272+1)</f>
        <v>188</v>
      </c>
      <c r="B273" s="3">
        <f t="shared" si="15"/>
        <v>5586.3665412576274</v>
      </c>
      <c r="C273" s="3">
        <f>IF(A273="","",(-PMT(Refinance_Calculator!$C$13/12,Refinance_Calculator!$C$16,Full_Report!$B$86,0,0)))</f>
        <v>125.46601034901943</v>
      </c>
      <c r="D273" s="3">
        <f t="shared" si="16"/>
        <v>37.24244360838415</v>
      </c>
      <c r="E273" s="3">
        <f>IF(A273="","",(-PPMT(Refinance_Calculator!$C$13/12,Full_Report!A273,Refinance_Calculator!$C$16,Full_Report!$B$86,0,0)))</f>
        <v>88.223566740635277</v>
      </c>
      <c r="F273" s="3">
        <f t="shared" si="17"/>
        <v>5498.1429745169926</v>
      </c>
      <c r="G273" s="5">
        <f t="shared" si="13"/>
        <v>9501.8570254830138</v>
      </c>
      <c r="H273" s="5">
        <f t="shared" si="14"/>
        <v>14085.752920132651</v>
      </c>
      <c r="J273"/>
      <c r="K273"/>
      <c r="L273"/>
      <c r="M273"/>
      <c r="O273"/>
      <c r="P273"/>
      <c r="Q273"/>
    </row>
    <row r="274" spans="1:17" ht="14.4" x14ac:dyDescent="0.3">
      <c r="A274" s="1">
        <f>IF(OR(A273="",F273=0,A273=Refinance_Calculator!$C$16),"",A273+1)</f>
        <v>189</v>
      </c>
      <c r="B274" s="3">
        <f t="shared" si="15"/>
        <v>5498.1429745169926</v>
      </c>
      <c r="C274" s="3">
        <f>IF(A274="","",(-PMT(Refinance_Calculator!$C$13/12,Refinance_Calculator!$C$16,Full_Report!$B$86,0,0)))</f>
        <v>125.46601034901943</v>
      </c>
      <c r="D274" s="3">
        <f t="shared" si="16"/>
        <v>36.654286496779918</v>
      </c>
      <c r="E274" s="3">
        <f>IF(A274="","",(-PPMT(Refinance_Calculator!$C$13/12,Full_Report!A274,Refinance_Calculator!$C$16,Full_Report!$B$86,0,0)))</f>
        <v>88.81172385223951</v>
      </c>
      <c r="F274" s="3">
        <f t="shared" si="17"/>
        <v>5409.3312506647535</v>
      </c>
      <c r="G274" s="5">
        <f t="shared" si="13"/>
        <v>9590.6687493352529</v>
      </c>
      <c r="H274" s="5">
        <f t="shared" si="14"/>
        <v>14122.40720662943</v>
      </c>
      <c r="J274"/>
      <c r="K274"/>
      <c r="L274"/>
      <c r="M274"/>
      <c r="O274"/>
      <c r="P274"/>
      <c r="Q274"/>
    </row>
    <row r="275" spans="1:17" ht="14.4" x14ac:dyDescent="0.3">
      <c r="A275" s="1">
        <f>IF(OR(A274="",F274=0,A274=Refinance_Calculator!$C$16),"",A274+1)</f>
        <v>190</v>
      </c>
      <c r="B275" s="3">
        <f t="shared" si="15"/>
        <v>5409.3312506647535</v>
      </c>
      <c r="C275" s="3">
        <f>IF(A275="","",(-PMT(Refinance_Calculator!$C$13/12,Refinance_Calculator!$C$16,Full_Report!$B$86,0,0)))</f>
        <v>125.46601034901943</v>
      </c>
      <c r="D275" s="3">
        <f t="shared" si="16"/>
        <v>36.062208337764986</v>
      </c>
      <c r="E275" s="3">
        <f>IF(A275="","",(-PPMT(Refinance_Calculator!$C$13/12,Full_Report!A275,Refinance_Calculator!$C$16,Full_Report!$B$86,0,0)))</f>
        <v>89.403802011254442</v>
      </c>
      <c r="F275" s="3">
        <f t="shared" si="17"/>
        <v>5319.9274486534987</v>
      </c>
      <c r="G275" s="5">
        <f t="shared" si="13"/>
        <v>9680.0725513465077</v>
      </c>
      <c r="H275" s="5">
        <f t="shared" si="14"/>
        <v>14158.469414967196</v>
      </c>
      <c r="J275"/>
      <c r="K275"/>
      <c r="L275"/>
      <c r="M275"/>
      <c r="O275"/>
      <c r="P275"/>
      <c r="Q275"/>
    </row>
    <row r="276" spans="1:17" ht="14.4" x14ac:dyDescent="0.3">
      <c r="A276" s="1">
        <f>IF(OR(A275="",F275=0,A275=Refinance_Calculator!$C$16),"",A275+1)</f>
        <v>191</v>
      </c>
      <c r="B276" s="3">
        <f t="shared" si="15"/>
        <v>5319.9274486534987</v>
      </c>
      <c r="C276" s="3">
        <f>IF(A276="","",(-PMT(Refinance_Calculator!$C$13/12,Refinance_Calculator!$C$16,Full_Report!$B$86,0,0)))</f>
        <v>125.46601034901943</v>
      </c>
      <c r="D276" s="3">
        <f t="shared" si="16"/>
        <v>35.466182991023288</v>
      </c>
      <c r="E276" s="3">
        <f>IF(A276="","",(-PPMT(Refinance_Calculator!$C$13/12,Full_Report!A276,Refinance_Calculator!$C$16,Full_Report!$B$86,0,0)))</f>
        <v>89.999827357996139</v>
      </c>
      <c r="F276" s="3">
        <f t="shared" si="17"/>
        <v>5229.9276212955028</v>
      </c>
      <c r="G276" s="5">
        <f t="shared" si="13"/>
        <v>9770.0723787045044</v>
      </c>
      <c r="H276" s="5">
        <f t="shared" si="14"/>
        <v>14193.93559795822</v>
      </c>
      <c r="J276"/>
      <c r="K276"/>
      <c r="L276"/>
      <c r="M276"/>
      <c r="O276"/>
      <c r="P276"/>
      <c r="Q276"/>
    </row>
    <row r="277" spans="1:17" ht="14.4" x14ac:dyDescent="0.3">
      <c r="A277" s="1">
        <f>IF(OR(A276="",F276=0,A276=Refinance_Calculator!$C$16),"",A276+1)</f>
        <v>192</v>
      </c>
      <c r="B277" s="3">
        <f t="shared" si="15"/>
        <v>5229.9276212955028</v>
      </c>
      <c r="C277" s="3">
        <f>IF(A277="","",(-PMT(Refinance_Calculator!$C$13/12,Refinance_Calculator!$C$16,Full_Report!$B$86,0,0)))</f>
        <v>125.46601034901943</v>
      </c>
      <c r="D277" s="3">
        <f t="shared" si="16"/>
        <v>34.866184141969981</v>
      </c>
      <c r="E277" s="3">
        <f>IF(A277="","",(-PPMT(Refinance_Calculator!$C$13/12,Full_Report!A277,Refinance_Calculator!$C$16,Full_Report!$B$86,0,0)))</f>
        <v>90.599826207049446</v>
      </c>
      <c r="F277" s="3">
        <f t="shared" si="17"/>
        <v>5139.3277950884531</v>
      </c>
      <c r="G277" s="5">
        <f t="shared" si="13"/>
        <v>9860.6722049115542</v>
      </c>
      <c r="H277" s="5">
        <f t="shared" si="14"/>
        <v>14228.80178210019</v>
      </c>
      <c r="J277"/>
      <c r="K277"/>
      <c r="L277"/>
      <c r="M277"/>
      <c r="O277"/>
      <c r="P277"/>
      <c r="Q277"/>
    </row>
    <row r="278" spans="1:17" ht="14.4" x14ac:dyDescent="0.3">
      <c r="A278" s="1">
        <f>IF(OR(A277="",F277=0,A277=Refinance_Calculator!$C$16),"",A277+1)</f>
        <v>193</v>
      </c>
      <c r="B278" s="3">
        <f t="shared" si="15"/>
        <v>5139.3277950884531</v>
      </c>
      <c r="C278" s="3">
        <f>IF(A278="","",(-PMT(Refinance_Calculator!$C$13/12,Refinance_Calculator!$C$16,Full_Report!$B$86,0,0)))</f>
        <v>125.46601034901943</v>
      </c>
      <c r="D278" s="3">
        <f t="shared" si="16"/>
        <v>34.26218530058965</v>
      </c>
      <c r="E278" s="3">
        <f>IF(A278="","",(-PPMT(Refinance_Calculator!$C$13/12,Full_Report!A278,Refinance_Calculator!$C$16,Full_Report!$B$86,0,0)))</f>
        <v>91.203825048429778</v>
      </c>
      <c r="F278" s="3">
        <f t="shared" si="17"/>
        <v>5048.1239700400229</v>
      </c>
      <c r="G278" s="5">
        <f t="shared" si="13"/>
        <v>9951.8760299599835</v>
      </c>
      <c r="H278" s="5">
        <f t="shared" si="14"/>
        <v>14263.06396740078</v>
      </c>
      <c r="J278"/>
      <c r="K278"/>
      <c r="L278"/>
      <c r="M278"/>
      <c r="O278"/>
      <c r="P278"/>
      <c r="Q278"/>
    </row>
    <row r="279" spans="1:17" ht="14.4" x14ac:dyDescent="0.3">
      <c r="A279" s="1">
        <f>IF(OR(A278="",F278=0,A278=Refinance_Calculator!$C$16),"",A278+1)</f>
        <v>194</v>
      </c>
      <c r="B279" s="3">
        <f t="shared" si="15"/>
        <v>5048.1239700400229</v>
      </c>
      <c r="C279" s="3">
        <f>IF(A279="","",(-PMT(Refinance_Calculator!$C$13/12,Refinance_Calculator!$C$16,Full_Report!$B$86,0,0)))</f>
        <v>125.46601034901943</v>
      </c>
      <c r="D279" s="3">
        <f t="shared" si="16"/>
        <v>33.654159800266783</v>
      </c>
      <c r="E279" s="3">
        <f>IF(A279="","",(-PPMT(Refinance_Calculator!$C$13/12,Full_Report!A279,Refinance_Calculator!$C$16,Full_Report!$B$86,0,0)))</f>
        <v>91.811850548752645</v>
      </c>
      <c r="F279" s="3">
        <f t="shared" si="17"/>
        <v>4956.3121194912701</v>
      </c>
      <c r="G279" s="5">
        <f t="shared" si="13"/>
        <v>10043.687880508736</v>
      </c>
      <c r="H279" s="5">
        <f t="shared" si="14"/>
        <v>14296.718127201046</v>
      </c>
      <c r="J279"/>
      <c r="K279"/>
      <c r="L279"/>
      <c r="M279"/>
      <c r="O279"/>
      <c r="P279"/>
      <c r="Q279"/>
    </row>
    <row r="280" spans="1:17" ht="14.4" x14ac:dyDescent="0.3">
      <c r="A280" s="1">
        <f>IF(OR(A279="",F279=0,A279=Refinance_Calculator!$C$16),"",A279+1)</f>
        <v>195</v>
      </c>
      <c r="B280" s="3">
        <f t="shared" si="15"/>
        <v>4956.3121194912701</v>
      </c>
      <c r="C280" s="3">
        <f>IF(A280="","",(-PMT(Refinance_Calculator!$C$13/12,Refinance_Calculator!$C$16,Full_Report!$B$86,0,0)))</f>
        <v>125.46601034901943</v>
      </c>
      <c r="D280" s="3">
        <f t="shared" si="16"/>
        <v>33.042080796608445</v>
      </c>
      <c r="E280" s="3">
        <f>IF(A280="","",(-PPMT(Refinance_Calculator!$C$13/12,Full_Report!A280,Refinance_Calculator!$C$16,Full_Report!$B$86,0,0)))</f>
        <v>92.423929552410982</v>
      </c>
      <c r="F280" s="3">
        <f t="shared" si="17"/>
        <v>4863.8881899388589</v>
      </c>
      <c r="G280" s="5">
        <f t="shared" ref="G280:G343" si="18">+IF(A280="","",(E280+G279))</f>
        <v>10136.111810061147</v>
      </c>
      <c r="H280" s="5">
        <f t="shared" ref="H280:H343" si="19">+IF(B280="","",(D280+H279))</f>
        <v>14329.760207997655</v>
      </c>
      <c r="J280"/>
      <c r="K280"/>
      <c r="L280"/>
      <c r="M280"/>
      <c r="O280"/>
      <c r="P280"/>
      <c r="Q280"/>
    </row>
    <row r="281" spans="1:17" ht="14.4" x14ac:dyDescent="0.3">
      <c r="A281" s="1">
        <f>IF(OR(A280="",F280=0,A280=Refinance_Calculator!$C$16),"",A280+1)</f>
        <v>196</v>
      </c>
      <c r="B281" s="3">
        <f t="shared" si="15"/>
        <v>4863.8881899388589</v>
      </c>
      <c r="C281" s="3">
        <f>IF(A281="","",(-PMT(Refinance_Calculator!$C$13/12,Refinance_Calculator!$C$16,Full_Report!$B$86,0,0)))</f>
        <v>125.46601034901943</v>
      </c>
      <c r="D281" s="3">
        <f t="shared" si="16"/>
        <v>32.425921266259039</v>
      </c>
      <c r="E281" s="3">
        <f>IF(A281="","",(-PPMT(Refinance_Calculator!$C$13/12,Full_Report!A281,Refinance_Calculator!$C$16,Full_Report!$B$86,0,0)))</f>
        <v>93.040089082760389</v>
      </c>
      <c r="F281" s="3">
        <f t="shared" si="17"/>
        <v>4770.8481008560984</v>
      </c>
      <c r="G281" s="5">
        <f t="shared" si="18"/>
        <v>10229.151899143908</v>
      </c>
      <c r="H281" s="5">
        <f t="shared" si="19"/>
        <v>14362.186129263913</v>
      </c>
      <c r="J281"/>
      <c r="K281"/>
      <c r="L281"/>
      <c r="M281"/>
      <c r="O281"/>
      <c r="P281"/>
      <c r="Q281"/>
    </row>
    <row r="282" spans="1:17" ht="14.4" x14ac:dyDescent="0.3">
      <c r="A282" s="1">
        <f>IF(OR(A281="",F281=0,A281=Refinance_Calculator!$C$16),"",A281+1)</f>
        <v>197</v>
      </c>
      <c r="B282" s="3">
        <f t="shared" si="15"/>
        <v>4770.8481008560984</v>
      </c>
      <c r="C282" s="3">
        <f>IF(A282="","",(-PMT(Refinance_Calculator!$C$13/12,Refinance_Calculator!$C$16,Full_Report!$B$86,0,0)))</f>
        <v>125.46601034901943</v>
      </c>
      <c r="D282" s="3">
        <f t="shared" si="16"/>
        <v>31.805654005707297</v>
      </c>
      <c r="E282" s="3">
        <f>IF(A282="","",(-PPMT(Refinance_Calculator!$C$13/12,Full_Report!A282,Refinance_Calculator!$C$16,Full_Report!$B$86,0,0)))</f>
        <v>93.660356343312131</v>
      </c>
      <c r="F282" s="3">
        <f t="shared" si="17"/>
        <v>4677.1877445127866</v>
      </c>
      <c r="G282" s="5">
        <f t="shared" si="18"/>
        <v>10322.812255487221</v>
      </c>
      <c r="H282" s="5">
        <f t="shared" si="19"/>
        <v>14393.991783269621</v>
      </c>
      <c r="J282"/>
      <c r="K282"/>
      <c r="L282"/>
      <c r="M282"/>
      <c r="O282"/>
      <c r="P282"/>
      <c r="Q282"/>
    </row>
    <row r="283" spans="1:17" ht="14.4" x14ac:dyDescent="0.3">
      <c r="A283" s="1">
        <f>IF(OR(A282="",F282=0,A282=Refinance_Calculator!$C$16),"",A282+1)</f>
        <v>198</v>
      </c>
      <c r="B283" s="3">
        <f t="shared" si="15"/>
        <v>4677.1877445127866</v>
      </c>
      <c r="C283" s="3">
        <f>IF(A283="","",(-PMT(Refinance_Calculator!$C$13/12,Refinance_Calculator!$C$16,Full_Report!$B$86,0,0)))</f>
        <v>125.46601034901943</v>
      </c>
      <c r="D283" s="3">
        <f t="shared" si="16"/>
        <v>31.181251630085214</v>
      </c>
      <c r="E283" s="3">
        <f>IF(A283="","",(-PPMT(Refinance_Calculator!$C$13/12,Full_Report!A283,Refinance_Calculator!$C$16,Full_Report!$B$86,0,0)))</f>
        <v>94.284758718934214</v>
      </c>
      <c r="F283" s="3">
        <f t="shared" si="17"/>
        <v>4582.9029857938522</v>
      </c>
      <c r="G283" s="5">
        <f t="shared" si="18"/>
        <v>10417.097014206154</v>
      </c>
      <c r="H283" s="5">
        <f t="shared" si="19"/>
        <v>14425.173034899706</v>
      </c>
      <c r="J283"/>
      <c r="K283"/>
      <c r="L283"/>
      <c r="M283"/>
      <c r="O283"/>
      <c r="P283"/>
      <c r="Q283"/>
    </row>
    <row r="284" spans="1:17" ht="14.4" x14ac:dyDescent="0.3">
      <c r="A284" s="1">
        <f>IF(OR(A283="",F283=0,A283=Refinance_Calculator!$C$16),"",A283+1)</f>
        <v>199</v>
      </c>
      <c r="B284" s="3">
        <f t="shared" si="15"/>
        <v>4582.9029857938522</v>
      </c>
      <c r="C284" s="3">
        <f>IF(A284="","",(-PMT(Refinance_Calculator!$C$13/12,Refinance_Calculator!$C$16,Full_Report!$B$86,0,0)))</f>
        <v>125.46601034901943</v>
      </c>
      <c r="D284" s="3">
        <f t="shared" si="16"/>
        <v>30.552686571958972</v>
      </c>
      <c r="E284" s="3">
        <f>IF(A284="","",(-PPMT(Refinance_Calculator!$C$13/12,Full_Report!A284,Refinance_Calculator!$C$16,Full_Report!$B$86,0,0)))</f>
        <v>94.913323777060455</v>
      </c>
      <c r="F284" s="3">
        <f t="shared" si="17"/>
        <v>4487.989662016792</v>
      </c>
      <c r="G284" s="5">
        <f t="shared" si="18"/>
        <v>10512.010337983214</v>
      </c>
      <c r="H284" s="5">
        <f t="shared" si="19"/>
        <v>14455.725721471665</v>
      </c>
      <c r="J284"/>
      <c r="K284"/>
      <c r="L284"/>
      <c r="M284"/>
      <c r="O284"/>
      <c r="P284"/>
      <c r="Q284"/>
    </row>
    <row r="285" spans="1:17" ht="14.4" x14ac:dyDescent="0.3">
      <c r="A285" s="1">
        <f>IF(OR(A284="",F284=0,A284=Refinance_Calculator!$C$16),"",A284+1)</f>
        <v>200</v>
      </c>
      <c r="B285" s="3">
        <f t="shared" si="15"/>
        <v>4487.989662016792</v>
      </c>
      <c r="C285" s="3">
        <f>IF(A285="","",(-PMT(Refinance_Calculator!$C$13/12,Refinance_Calculator!$C$16,Full_Report!$B$86,0,0)))</f>
        <v>125.46601034901943</v>
      </c>
      <c r="D285" s="3">
        <f t="shared" si="16"/>
        <v>29.919931080111922</v>
      </c>
      <c r="E285" s="3">
        <f>IF(A285="","",(-PPMT(Refinance_Calculator!$C$13/12,Full_Report!A285,Refinance_Calculator!$C$16,Full_Report!$B$86,0,0)))</f>
        <v>95.546079268907505</v>
      </c>
      <c r="F285" s="3">
        <f t="shared" si="17"/>
        <v>4392.4435827478846</v>
      </c>
      <c r="G285" s="5">
        <f t="shared" si="18"/>
        <v>10607.556417252123</v>
      </c>
      <c r="H285" s="5">
        <f t="shared" si="19"/>
        <v>14485.645652551777</v>
      </c>
      <c r="J285"/>
      <c r="K285"/>
      <c r="L285"/>
      <c r="M285"/>
      <c r="O285"/>
      <c r="P285"/>
      <c r="Q285"/>
    </row>
    <row r="286" spans="1:17" ht="14.4" x14ac:dyDescent="0.3">
      <c r="A286" s="1">
        <f>IF(OR(A285="",F285=0,A285=Refinance_Calculator!$C$16),"",A285+1)</f>
        <v>201</v>
      </c>
      <c r="B286" s="3">
        <f t="shared" si="15"/>
        <v>4392.4435827478846</v>
      </c>
      <c r="C286" s="3">
        <f>IF(A286="","",(-PMT(Refinance_Calculator!$C$13/12,Refinance_Calculator!$C$16,Full_Report!$B$86,0,0)))</f>
        <v>125.46601034901943</v>
      </c>
      <c r="D286" s="3">
        <f t="shared" si="16"/>
        <v>29.282957218319197</v>
      </c>
      <c r="E286" s="3">
        <f>IF(A286="","",(-PPMT(Refinance_Calculator!$C$13/12,Full_Report!A286,Refinance_Calculator!$C$16,Full_Report!$B$86,0,0)))</f>
        <v>96.18305313070023</v>
      </c>
      <c r="F286" s="3">
        <f t="shared" si="17"/>
        <v>4296.2605296171841</v>
      </c>
      <c r="G286" s="5">
        <f t="shared" si="18"/>
        <v>10703.739470382823</v>
      </c>
      <c r="H286" s="5">
        <f t="shared" si="19"/>
        <v>14514.928609770097</v>
      </c>
      <c r="J286"/>
      <c r="K286"/>
      <c r="L286"/>
      <c r="M286"/>
      <c r="O286"/>
      <c r="P286"/>
      <c r="Q286"/>
    </row>
    <row r="287" spans="1:17" ht="14.4" x14ac:dyDescent="0.3">
      <c r="A287" s="1">
        <f>IF(OR(A286="",F286=0,A286=Refinance_Calculator!$C$16),"",A286+1)</f>
        <v>202</v>
      </c>
      <c r="B287" s="3">
        <f t="shared" si="15"/>
        <v>4296.2605296171841</v>
      </c>
      <c r="C287" s="3">
        <f>IF(A287="","",(-PMT(Refinance_Calculator!$C$13/12,Refinance_Calculator!$C$16,Full_Report!$B$86,0,0)))</f>
        <v>125.46601034901943</v>
      </c>
      <c r="D287" s="3">
        <f t="shared" si="16"/>
        <v>28.641736864114534</v>
      </c>
      <c r="E287" s="3">
        <f>IF(A287="","",(-PPMT(Refinance_Calculator!$C$13/12,Full_Report!A287,Refinance_Calculator!$C$16,Full_Report!$B$86,0,0)))</f>
        <v>96.824273484904893</v>
      </c>
      <c r="F287" s="3">
        <f t="shared" si="17"/>
        <v>4199.4362561322796</v>
      </c>
      <c r="G287" s="5">
        <f t="shared" si="18"/>
        <v>10800.563743867728</v>
      </c>
      <c r="H287" s="5">
        <f t="shared" si="19"/>
        <v>14543.570346634211</v>
      </c>
      <c r="J287"/>
      <c r="K287"/>
      <c r="L287"/>
      <c r="M287"/>
      <c r="O287"/>
      <c r="P287"/>
      <c r="Q287"/>
    </row>
    <row r="288" spans="1:17" ht="14.4" x14ac:dyDescent="0.3">
      <c r="A288" s="1">
        <f>IF(OR(A287="",F287=0,A287=Refinance_Calculator!$C$16),"",A287+1)</f>
        <v>203</v>
      </c>
      <c r="B288" s="3">
        <f t="shared" si="15"/>
        <v>4199.4362561322796</v>
      </c>
      <c r="C288" s="3">
        <f>IF(A288="","",(-PMT(Refinance_Calculator!$C$13/12,Refinance_Calculator!$C$16,Full_Report!$B$86,0,0)))</f>
        <v>125.46601034901943</v>
      </c>
      <c r="D288" s="3">
        <f t="shared" si="16"/>
        <v>27.996241707548492</v>
      </c>
      <c r="E288" s="3">
        <f>IF(A288="","",(-PPMT(Refinance_Calculator!$C$13/12,Full_Report!A288,Refinance_Calculator!$C$16,Full_Report!$B$86,0,0)))</f>
        <v>97.469768641470935</v>
      </c>
      <c r="F288" s="3">
        <f t="shared" si="17"/>
        <v>4101.9664874908085</v>
      </c>
      <c r="G288" s="5">
        <f t="shared" si="18"/>
        <v>10898.033512509199</v>
      </c>
      <c r="H288" s="5">
        <f t="shared" si="19"/>
        <v>14571.566588341759</v>
      </c>
      <c r="J288"/>
      <c r="K288"/>
      <c r="L288"/>
      <c r="M288"/>
      <c r="O288"/>
      <c r="P288"/>
      <c r="Q288"/>
    </row>
    <row r="289" spans="1:17" ht="14.4" x14ac:dyDescent="0.3">
      <c r="A289" s="1">
        <f>IF(OR(A288="",F288=0,A288=Refinance_Calculator!$C$16),"",A288+1)</f>
        <v>204</v>
      </c>
      <c r="B289" s="3">
        <f t="shared" si="15"/>
        <v>4101.9664874908085</v>
      </c>
      <c r="C289" s="3">
        <f>IF(A289="","",(-PMT(Refinance_Calculator!$C$13/12,Refinance_Calculator!$C$16,Full_Report!$B$86,0,0)))</f>
        <v>125.46601034901943</v>
      </c>
      <c r="D289" s="3">
        <f t="shared" si="16"/>
        <v>27.346443249938687</v>
      </c>
      <c r="E289" s="3">
        <f>IF(A289="","",(-PPMT(Refinance_Calculator!$C$13/12,Full_Report!A289,Refinance_Calculator!$C$16,Full_Report!$B$86,0,0)))</f>
        <v>98.11956709908074</v>
      </c>
      <c r="F289" s="3">
        <f t="shared" si="17"/>
        <v>4003.846920391728</v>
      </c>
      <c r="G289" s="5">
        <f t="shared" si="18"/>
        <v>10996.153079608279</v>
      </c>
      <c r="H289" s="5">
        <f t="shared" si="19"/>
        <v>14598.913031591697</v>
      </c>
      <c r="J289"/>
      <c r="K289"/>
      <c r="L289"/>
      <c r="M289"/>
      <c r="O289"/>
      <c r="P289"/>
      <c r="Q289"/>
    </row>
    <row r="290" spans="1:17" ht="14.4" x14ac:dyDescent="0.3">
      <c r="A290" s="1">
        <f>IF(OR(A289="",F289=0,A289=Refinance_Calculator!$C$16),"",A289+1)</f>
        <v>205</v>
      </c>
      <c r="B290" s="3">
        <f t="shared" ref="B290:B353" si="20">IF(A290="","",(F289))</f>
        <v>4003.846920391728</v>
      </c>
      <c r="C290" s="3">
        <f>IF(A290="","",(-PMT(Refinance_Calculator!$C$13/12,Refinance_Calculator!$C$16,Full_Report!$B$86,0,0)))</f>
        <v>125.46601034901943</v>
      </c>
      <c r="D290" s="3">
        <f t="shared" ref="D290:D353" si="21">+IF(A290="","",(C290-E290))</f>
        <v>26.692312802611482</v>
      </c>
      <c r="E290" s="3">
        <f>IF(A290="","",(-PPMT(Refinance_Calculator!$C$13/12,Full_Report!A290,Refinance_Calculator!$C$16,Full_Report!$B$86,0,0)))</f>
        <v>98.773697546407945</v>
      </c>
      <c r="F290" s="3">
        <f t="shared" ref="F290:F353" si="22">IF(A290="","",(B290-E290))</f>
        <v>3905.0732228453198</v>
      </c>
      <c r="G290" s="5">
        <f t="shared" si="18"/>
        <v>11094.926777154687</v>
      </c>
      <c r="H290" s="5">
        <f t="shared" si="19"/>
        <v>14625.605344394309</v>
      </c>
      <c r="J290"/>
      <c r="K290"/>
      <c r="L290"/>
      <c r="M290"/>
      <c r="O290"/>
      <c r="P290"/>
      <c r="Q290"/>
    </row>
    <row r="291" spans="1:17" ht="14.4" x14ac:dyDescent="0.3">
      <c r="A291" s="1">
        <f>IF(OR(A290="",F290=0,A290=Refinance_Calculator!$C$16),"",A290+1)</f>
        <v>206</v>
      </c>
      <c r="B291" s="3">
        <f t="shared" si="20"/>
        <v>3905.0732228453198</v>
      </c>
      <c r="C291" s="3">
        <f>IF(A291="","",(-PMT(Refinance_Calculator!$C$13/12,Refinance_Calculator!$C$16,Full_Report!$B$86,0,0)))</f>
        <v>125.46601034901943</v>
      </c>
      <c r="D291" s="3">
        <f t="shared" si="21"/>
        <v>26.033821485635428</v>
      </c>
      <c r="E291" s="3">
        <f>IF(A291="","",(-PPMT(Refinance_Calculator!$C$13/12,Full_Report!A291,Refinance_Calculator!$C$16,Full_Report!$B$86,0,0)))</f>
        <v>99.432188863383999</v>
      </c>
      <c r="F291" s="3">
        <f t="shared" si="22"/>
        <v>3805.6410339819358</v>
      </c>
      <c r="G291" s="5">
        <f t="shared" si="18"/>
        <v>11194.358966018071</v>
      </c>
      <c r="H291" s="5">
        <f t="shared" si="19"/>
        <v>14651.639165879944</v>
      </c>
      <c r="J291"/>
      <c r="K291"/>
      <c r="L291"/>
      <c r="M291"/>
      <c r="O291"/>
      <c r="P291"/>
      <c r="Q291"/>
    </row>
    <row r="292" spans="1:17" ht="14.4" x14ac:dyDescent="0.3">
      <c r="A292" s="1">
        <f>IF(OR(A291="",F291=0,A291=Refinance_Calculator!$C$16),"",A291+1)</f>
        <v>207</v>
      </c>
      <c r="B292" s="3">
        <f t="shared" si="20"/>
        <v>3805.6410339819358</v>
      </c>
      <c r="C292" s="3">
        <f>IF(A292="","",(-PMT(Refinance_Calculator!$C$13/12,Refinance_Calculator!$C$16,Full_Report!$B$86,0,0)))</f>
        <v>125.46601034901943</v>
      </c>
      <c r="D292" s="3">
        <f t="shared" si="21"/>
        <v>25.370940226546196</v>
      </c>
      <c r="E292" s="3">
        <f>IF(A292="","",(-PPMT(Refinance_Calculator!$C$13/12,Full_Report!A292,Refinance_Calculator!$C$16,Full_Report!$B$86,0,0)))</f>
        <v>100.09507012247323</v>
      </c>
      <c r="F292" s="3">
        <f t="shared" si="22"/>
        <v>3705.5459638594625</v>
      </c>
      <c r="G292" s="5">
        <f t="shared" si="18"/>
        <v>11294.454036140545</v>
      </c>
      <c r="H292" s="5">
        <f t="shared" si="19"/>
        <v>14677.010106106491</v>
      </c>
      <c r="J292"/>
      <c r="K292"/>
      <c r="L292"/>
      <c r="M292"/>
      <c r="O292"/>
      <c r="P292"/>
      <c r="Q292"/>
    </row>
    <row r="293" spans="1:17" ht="14.4" x14ac:dyDescent="0.3">
      <c r="A293" s="1">
        <f>IF(OR(A292="",F292=0,A292=Refinance_Calculator!$C$16),"",A292+1)</f>
        <v>208</v>
      </c>
      <c r="B293" s="3">
        <f t="shared" si="20"/>
        <v>3705.5459638594625</v>
      </c>
      <c r="C293" s="3">
        <f>IF(A293="","",(-PMT(Refinance_Calculator!$C$13/12,Refinance_Calculator!$C$16,Full_Report!$B$86,0,0)))</f>
        <v>125.46601034901943</v>
      </c>
      <c r="D293" s="3">
        <f t="shared" si="21"/>
        <v>24.703639759063066</v>
      </c>
      <c r="E293" s="3">
        <f>IF(A293="","",(-PPMT(Refinance_Calculator!$C$13/12,Full_Report!A293,Refinance_Calculator!$C$16,Full_Report!$B$86,0,0)))</f>
        <v>100.76237058995636</v>
      </c>
      <c r="F293" s="3">
        <f t="shared" si="22"/>
        <v>3604.7835932695061</v>
      </c>
      <c r="G293" s="5">
        <f t="shared" si="18"/>
        <v>11395.216406730502</v>
      </c>
      <c r="H293" s="5">
        <f t="shared" si="19"/>
        <v>14701.713745865554</v>
      </c>
      <c r="J293"/>
      <c r="K293"/>
      <c r="L293"/>
      <c r="M293"/>
      <c r="O293"/>
      <c r="P293"/>
      <c r="Q293"/>
    </row>
    <row r="294" spans="1:17" ht="14.4" x14ac:dyDescent="0.3">
      <c r="A294" s="1">
        <f>IF(OR(A293="",F293=0,A293=Refinance_Calculator!$C$16),"",A293+1)</f>
        <v>209</v>
      </c>
      <c r="B294" s="3">
        <f t="shared" si="20"/>
        <v>3604.7835932695061</v>
      </c>
      <c r="C294" s="3">
        <f>IF(A294="","",(-PMT(Refinance_Calculator!$C$13/12,Refinance_Calculator!$C$16,Full_Report!$B$86,0,0)))</f>
        <v>125.46601034901943</v>
      </c>
      <c r="D294" s="3">
        <f t="shared" si="21"/>
        <v>24.031890621796677</v>
      </c>
      <c r="E294" s="3">
        <f>IF(A294="","",(-PPMT(Refinance_Calculator!$C$13/12,Full_Report!A294,Refinance_Calculator!$C$16,Full_Report!$B$86,0,0)))</f>
        <v>101.43411972722275</v>
      </c>
      <c r="F294" s="3">
        <f t="shared" si="22"/>
        <v>3503.3494735422832</v>
      </c>
      <c r="G294" s="5">
        <f t="shared" si="18"/>
        <v>11496.650526457724</v>
      </c>
      <c r="H294" s="5">
        <f t="shared" si="19"/>
        <v>14725.745636487351</v>
      </c>
      <c r="J294"/>
      <c r="K294"/>
      <c r="L294"/>
      <c r="M294"/>
      <c r="O294"/>
      <c r="P294"/>
      <c r="Q294"/>
    </row>
    <row r="295" spans="1:17" ht="14.4" x14ac:dyDescent="0.3">
      <c r="A295" s="1">
        <f>IF(OR(A294="",F294=0,A294=Refinance_Calculator!$C$16),"",A294+1)</f>
        <v>210</v>
      </c>
      <c r="B295" s="3">
        <f t="shared" si="20"/>
        <v>3503.3494735422832</v>
      </c>
      <c r="C295" s="3">
        <f>IF(A295="","",(-PMT(Refinance_Calculator!$C$13/12,Refinance_Calculator!$C$16,Full_Report!$B$86,0,0)))</f>
        <v>125.46601034901943</v>
      </c>
      <c r="D295" s="3">
        <f t="shared" si="21"/>
        <v>23.355663156948538</v>
      </c>
      <c r="E295" s="3">
        <f>IF(A295="","",(-PPMT(Refinance_Calculator!$C$13/12,Full_Report!A295,Refinance_Calculator!$C$16,Full_Report!$B$86,0,0)))</f>
        <v>102.11034719207089</v>
      </c>
      <c r="F295" s="3">
        <f t="shared" si="22"/>
        <v>3401.2391263502122</v>
      </c>
      <c r="G295" s="5">
        <f t="shared" si="18"/>
        <v>11598.760873649795</v>
      </c>
      <c r="H295" s="5">
        <f t="shared" si="19"/>
        <v>14749.101299644299</v>
      </c>
      <c r="J295"/>
      <c r="K295"/>
      <c r="L295"/>
      <c r="M295"/>
      <c r="O295"/>
      <c r="P295"/>
      <c r="Q295"/>
    </row>
    <row r="296" spans="1:17" ht="14.4" x14ac:dyDescent="0.3">
      <c r="A296" s="1">
        <f>IF(OR(A295="",F295=0,A295=Refinance_Calculator!$C$16),"",A295+1)</f>
        <v>211</v>
      </c>
      <c r="B296" s="3">
        <f t="shared" si="20"/>
        <v>3401.2391263502122</v>
      </c>
      <c r="C296" s="3">
        <f>IF(A296="","",(-PMT(Refinance_Calculator!$C$13/12,Refinance_Calculator!$C$16,Full_Report!$B$86,0,0)))</f>
        <v>125.46601034901943</v>
      </c>
      <c r="D296" s="3">
        <f t="shared" si="21"/>
        <v>22.674927509001378</v>
      </c>
      <c r="E296" s="3">
        <f>IF(A296="","",(-PPMT(Refinance_Calculator!$C$13/12,Full_Report!A296,Refinance_Calculator!$C$16,Full_Report!$B$86,0,0)))</f>
        <v>102.79108284001805</v>
      </c>
      <c r="F296" s="3">
        <f t="shared" si="22"/>
        <v>3298.4480435101941</v>
      </c>
      <c r="G296" s="5">
        <f t="shared" si="18"/>
        <v>11701.551956489813</v>
      </c>
      <c r="H296" s="5">
        <f t="shared" si="19"/>
        <v>14771.776227153299</v>
      </c>
      <c r="J296"/>
      <c r="K296"/>
      <c r="L296"/>
      <c r="M296"/>
      <c r="O296"/>
      <c r="P296"/>
      <c r="Q296"/>
    </row>
    <row r="297" spans="1:17" ht="14.4" x14ac:dyDescent="0.3">
      <c r="A297" s="1">
        <f>IF(OR(A296="",F296=0,A296=Refinance_Calculator!$C$16),"",A296+1)</f>
        <v>212</v>
      </c>
      <c r="B297" s="3">
        <f t="shared" si="20"/>
        <v>3298.4480435101941</v>
      </c>
      <c r="C297" s="3">
        <f>IF(A297="","",(-PMT(Refinance_Calculator!$C$13/12,Refinance_Calculator!$C$16,Full_Report!$B$86,0,0)))</f>
        <v>125.46601034901943</v>
      </c>
      <c r="D297" s="3">
        <f t="shared" si="21"/>
        <v>21.989653623401253</v>
      </c>
      <c r="E297" s="3">
        <f>IF(A297="","",(-PPMT(Refinance_Calculator!$C$13/12,Full_Report!A297,Refinance_Calculator!$C$16,Full_Report!$B$86,0,0)))</f>
        <v>103.47635672561817</v>
      </c>
      <c r="F297" s="3">
        <f t="shared" si="22"/>
        <v>3194.9716867845759</v>
      </c>
      <c r="G297" s="5">
        <f t="shared" si="18"/>
        <v>11805.028313215431</v>
      </c>
      <c r="H297" s="5">
        <f t="shared" si="19"/>
        <v>14793.7658807767</v>
      </c>
      <c r="J297"/>
      <c r="K297"/>
      <c r="L297"/>
      <c r="M297"/>
      <c r="O297"/>
      <c r="P297"/>
      <c r="Q297"/>
    </row>
    <row r="298" spans="1:17" ht="14.4" x14ac:dyDescent="0.3">
      <c r="A298" s="1">
        <f>IF(OR(A297="",F297=0,A297=Refinance_Calculator!$C$16),"",A297+1)</f>
        <v>213</v>
      </c>
      <c r="B298" s="3">
        <f t="shared" si="20"/>
        <v>3194.9716867845759</v>
      </c>
      <c r="C298" s="3">
        <f>IF(A298="","",(-PMT(Refinance_Calculator!$C$13/12,Refinance_Calculator!$C$16,Full_Report!$B$86,0,0)))</f>
        <v>125.46601034901943</v>
      </c>
      <c r="D298" s="3">
        <f t="shared" si="21"/>
        <v>21.299811245230472</v>
      </c>
      <c r="E298" s="3">
        <f>IF(A298="","",(-PPMT(Refinance_Calculator!$C$13/12,Full_Report!A298,Refinance_Calculator!$C$16,Full_Report!$B$86,0,0)))</f>
        <v>104.16619910378895</v>
      </c>
      <c r="F298" s="3">
        <f t="shared" si="22"/>
        <v>3090.8054876807869</v>
      </c>
      <c r="G298" s="5">
        <f t="shared" si="18"/>
        <v>11909.19451231922</v>
      </c>
      <c r="H298" s="5">
        <f t="shared" si="19"/>
        <v>14815.06569202193</v>
      </c>
      <c r="J298"/>
      <c r="K298"/>
      <c r="L298"/>
      <c r="M298"/>
      <c r="O298"/>
      <c r="P298"/>
      <c r="Q298"/>
    </row>
    <row r="299" spans="1:17" ht="14.4" x14ac:dyDescent="0.3">
      <c r="A299" s="1">
        <f>IF(OR(A298="",F298=0,A298=Refinance_Calculator!$C$16),"",A298+1)</f>
        <v>214</v>
      </c>
      <c r="B299" s="3">
        <f t="shared" si="20"/>
        <v>3090.8054876807869</v>
      </c>
      <c r="C299" s="3">
        <f>IF(A299="","",(-PMT(Refinance_Calculator!$C$13/12,Refinance_Calculator!$C$16,Full_Report!$B$86,0,0)))</f>
        <v>125.46601034901943</v>
      </c>
      <c r="D299" s="3">
        <f t="shared" si="21"/>
        <v>20.605369917871883</v>
      </c>
      <c r="E299" s="3">
        <f>IF(A299="","",(-PPMT(Refinance_Calculator!$C$13/12,Full_Report!A299,Refinance_Calculator!$C$16,Full_Report!$B$86,0,0)))</f>
        <v>104.86064043114754</v>
      </c>
      <c r="F299" s="3">
        <f t="shared" si="22"/>
        <v>2985.9448472496392</v>
      </c>
      <c r="G299" s="5">
        <f t="shared" si="18"/>
        <v>12014.055152750367</v>
      </c>
      <c r="H299" s="5">
        <f t="shared" si="19"/>
        <v>14835.671061939802</v>
      </c>
      <c r="J299"/>
      <c r="K299"/>
      <c r="L299"/>
      <c r="M299"/>
      <c r="O299"/>
      <c r="P299"/>
      <c r="Q299"/>
    </row>
    <row r="300" spans="1:17" ht="14.4" x14ac:dyDescent="0.3">
      <c r="A300" s="1">
        <f>IF(OR(A299="",F299=0,A299=Refinance_Calculator!$C$16),"",A299+1)</f>
        <v>215</v>
      </c>
      <c r="B300" s="3">
        <f t="shared" si="20"/>
        <v>2985.9448472496392</v>
      </c>
      <c r="C300" s="3">
        <f>IF(A300="","",(-PMT(Refinance_Calculator!$C$13/12,Refinance_Calculator!$C$16,Full_Report!$B$86,0,0)))</f>
        <v>125.46601034901943</v>
      </c>
      <c r="D300" s="3">
        <f t="shared" si="21"/>
        <v>19.906298981664222</v>
      </c>
      <c r="E300" s="3">
        <f>IF(A300="","",(-PPMT(Refinance_Calculator!$C$13/12,Full_Report!A300,Refinance_Calculator!$C$16,Full_Report!$B$86,0,0)))</f>
        <v>105.55971136735521</v>
      </c>
      <c r="F300" s="3">
        <f t="shared" si="22"/>
        <v>2880.385135882284</v>
      </c>
      <c r="G300" s="5">
        <f t="shared" si="18"/>
        <v>12119.614864117722</v>
      </c>
      <c r="H300" s="5">
        <f t="shared" si="19"/>
        <v>14855.577360921467</v>
      </c>
      <c r="J300"/>
      <c r="K300"/>
      <c r="L300"/>
      <c r="M300"/>
      <c r="O300"/>
      <c r="P300"/>
      <c r="Q300"/>
    </row>
    <row r="301" spans="1:17" ht="14.4" x14ac:dyDescent="0.3">
      <c r="A301" s="1">
        <f>IF(OR(A300="",F300=0,A300=Refinance_Calculator!$C$16),"",A300+1)</f>
        <v>216</v>
      </c>
      <c r="B301" s="3">
        <f t="shared" si="20"/>
        <v>2880.385135882284</v>
      </c>
      <c r="C301" s="3">
        <f>IF(A301="","",(-PMT(Refinance_Calculator!$C$13/12,Refinance_Calculator!$C$16,Full_Report!$B$86,0,0)))</f>
        <v>125.46601034901943</v>
      </c>
      <c r="D301" s="3">
        <f t="shared" si="21"/>
        <v>19.202567572548531</v>
      </c>
      <c r="E301" s="3">
        <f>IF(A301="","",(-PPMT(Refinance_Calculator!$C$13/12,Full_Report!A301,Refinance_Calculator!$C$16,Full_Report!$B$86,0,0)))</f>
        <v>106.2634427764709</v>
      </c>
      <c r="F301" s="3">
        <f t="shared" si="22"/>
        <v>2774.1216931058129</v>
      </c>
      <c r="G301" s="5">
        <f t="shared" si="18"/>
        <v>12225.878306894194</v>
      </c>
      <c r="H301" s="5">
        <f t="shared" si="19"/>
        <v>14874.779928494016</v>
      </c>
      <c r="J301"/>
      <c r="K301"/>
      <c r="L301"/>
      <c r="M301"/>
      <c r="O301"/>
      <c r="P301"/>
      <c r="Q301"/>
    </row>
    <row r="302" spans="1:17" ht="14.4" x14ac:dyDescent="0.3">
      <c r="A302" s="1">
        <f>IF(OR(A301="",F301=0,A301=Refinance_Calculator!$C$16),"",A301+1)</f>
        <v>217</v>
      </c>
      <c r="B302" s="3">
        <f t="shared" si="20"/>
        <v>2774.1216931058129</v>
      </c>
      <c r="C302" s="3">
        <f>IF(A302="","",(-PMT(Refinance_Calculator!$C$13/12,Refinance_Calculator!$C$16,Full_Report!$B$86,0,0)))</f>
        <v>125.46601034901943</v>
      </c>
      <c r="D302" s="3">
        <f t="shared" si="21"/>
        <v>18.494144620705384</v>
      </c>
      <c r="E302" s="3">
        <f>IF(A302="","",(-PPMT(Refinance_Calculator!$C$13/12,Full_Report!A302,Refinance_Calculator!$C$16,Full_Report!$B$86,0,0)))</f>
        <v>106.97186572831404</v>
      </c>
      <c r="F302" s="3">
        <f t="shared" si="22"/>
        <v>2667.1498273774987</v>
      </c>
      <c r="G302" s="5">
        <f t="shared" si="18"/>
        <v>12332.850172622508</v>
      </c>
      <c r="H302" s="5">
        <f t="shared" si="19"/>
        <v>14893.274073114721</v>
      </c>
      <c r="J302"/>
      <c r="K302"/>
      <c r="L302"/>
      <c r="M302"/>
      <c r="O302"/>
      <c r="P302"/>
      <c r="Q302"/>
    </row>
    <row r="303" spans="1:17" ht="14.4" x14ac:dyDescent="0.3">
      <c r="A303" s="1">
        <f>IF(OR(A302="",F302=0,A302=Refinance_Calculator!$C$16),"",A302+1)</f>
        <v>218</v>
      </c>
      <c r="B303" s="3">
        <f t="shared" si="20"/>
        <v>2667.1498273774987</v>
      </c>
      <c r="C303" s="3">
        <f>IF(A303="","",(-PMT(Refinance_Calculator!$C$13/12,Refinance_Calculator!$C$16,Full_Report!$B$86,0,0)))</f>
        <v>125.46601034901943</v>
      </c>
      <c r="D303" s="3">
        <f t="shared" si="21"/>
        <v>17.780998849183305</v>
      </c>
      <c r="E303" s="3">
        <f>IF(A303="","",(-PPMT(Refinance_Calculator!$C$13/12,Full_Report!A303,Refinance_Calculator!$C$16,Full_Report!$B$86,0,0)))</f>
        <v>107.68501149983612</v>
      </c>
      <c r="F303" s="3">
        <f t="shared" si="22"/>
        <v>2559.4648158776627</v>
      </c>
      <c r="G303" s="5">
        <f t="shared" si="18"/>
        <v>12440.535184122344</v>
      </c>
      <c r="H303" s="5">
        <f t="shared" si="19"/>
        <v>14911.055071963903</v>
      </c>
      <c r="J303"/>
      <c r="K303"/>
      <c r="L303"/>
      <c r="M303"/>
      <c r="O303"/>
      <c r="P303"/>
      <c r="Q303"/>
    </row>
    <row r="304" spans="1:17" ht="14.4" x14ac:dyDescent="0.3">
      <c r="A304" s="1">
        <f>IF(OR(A303="",F303=0,A303=Refinance_Calculator!$C$16),"",A303+1)</f>
        <v>219</v>
      </c>
      <c r="B304" s="3">
        <f t="shared" si="20"/>
        <v>2559.4648158776627</v>
      </c>
      <c r="C304" s="3">
        <f>IF(A304="","",(-PMT(Refinance_Calculator!$C$13/12,Refinance_Calculator!$C$16,Full_Report!$B$86,0,0)))</f>
        <v>125.46601034901943</v>
      </c>
      <c r="D304" s="3">
        <f t="shared" si="21"/>
        <v>17.063098772517719</v>
      </c>
      <c r="E304" s="3">
        <f>IF(A304="","",(-PPMT(Refinance_Calculator!$C$13/12,Full_Report!A304,Refinance_Calculator!$C$16,Full_Report!$B$86,0,0)))</f>
        <v>108.40291157650171</v>
      </c>
      <c r="F304" s="3">
        <f t="shared" si="22"/>
        <v>2451.0619043011611</v>
      </c>
      <c r="G304" s="5">
        <f t="shared" si="18"/>
        <v>12548.938095698846</v>
      </c>
      <c r="H304" s="5">
        <f t="shared" si="19"/>
        <v>14928.118170736421</v>
      </c>
      <c r="J304"/>
      <c r="K304"/>
      <c r="L304"/>
      <c r="M304"/>
      <c r="O304"/>
      <c r="P304"/>
      <c r="Q304"/>
    </row>
    <row r="305" spans="1:17" ht="14.4" x14ac:dyDescent="0.3">
      <c r="A305" s="1">
        <f>IF(OR(A304="",F304=0,A304=Refinance_Calculator!$C$16),"",A304+1)</f>
        <v>220</v>
      </c>
      <c r="B305" s="3">
        <f t="shared" si="20"/>
        <v>2451.0619043011611</v>
      </c>
      <c r="C305" s="3">
        <f>IF(A305="","",(-PMT(Refinance_Calculator!$C$13/12,Refinance_Calculator!$C$16,Full_Report!$B$86,0,0)))</f>
        <v>125.46601034901943</v>
      </c>
      <c r="D305" s="3">
        <f t="shared" si="21"/>
        <v>16.340412695341044</v>
      </c>
      <c r="E305" s="3">
        <f>IF(A305="","",(-PPMT(Refinance_Calculator!$C$13/12,Full_Report!A305,Refinance_Calculator!$C$16,Full_Report!$B$86,0,0)))</f>
        <v>109.12559765367838</v>
      </c>
      <c r="F305" s="3">
        <f t="shared" si="22"/>
        <v>2341.9363066474825</v>
      </c>
      <c r="G305" s="5">
        <f t="shared" si="18"/>
        <v>12658.063693352524</v>
      </c>
      <c r="H305" s="5">
        <f t="shared" si="19"/>
        <v>14944.458583431762</v>
      </c>
      <c r="J305"/>
      <c r="K305"/>
      <c r="L305"/>
      <c r="M305"/>
      <c r="O305"/>
      <c r="P305"/>
      <c r="Q305"/>
    </row>
    <row r="306" spans="1:17" ht="14.4" x14ac:dyDescent="0.3">
      <c r="A306" s="1">
        <f>IF(OR(A305="",F305=0,A305=Refinance_Calculator!$C$16),"",A305+1)</f>
        <v>221</v>
      </c>
      <c r="B306" s="3">
        <f t="shared" si="20"/>
        <v>2341.9363066474825</v>
      </c>
      <c r="C306" s="3">
        <f>IF(A306="","",(-PMT(Refinance_Calculator!$C$13/12,Refinance_Calculator!$C$16,Full_Report!$B$86,0,0)))</f>
        <v>125.46601034901943</v>
      </c>
      <c r="D306" s="3">
        <f t="shared" si="21"/>
        <v>15.612908710983177</v>
      </c>
      <c r="E306" s="3">
        <f>IF(A306="","",(-PPMT(Refinance_Calculator!$C$13/12,Full_Report!A306,Refinance_Calculator!$C$16,Full_Report!$B$86,0,0)))</f>
        <v>109.85310163803625</v>
      </c>
      <c r="F306" s="3">
        <f t="shared" si="22"/>
        <v>2232.0832050094464</v>
      </c>
      <c r="G306" s="5">
        <f t="shared" si="18"/>
        <v>12767.91679499056</v>
      </c>
      <c r="H306" s="5">
        <f t="shared" si="19"/>
        <v>14960.071492142746</v>
      </c>
      <c r="J306"/>
      <c r="K306"/>
      <c r="L306"/>
      <c r="M306"/>
      <c r="O306"/>
      <c r="P306"/>
      <c r="Q306"/>
    </row>
    <row r="307" spans="1:17" ht="14.4" x14ac:dyDescent="0.3">
      <c r="A307" s="1">
        <f>IF(OR(A306="",F306=0,A306=Refinance_Calculator!$C$16),"",A306+1)</f>
        <v>222</v>
      </c>
      <c r="B307" s="3">
        <f t="shared" si="20"/>
        <v>2232.0832050094464</v>
      </c>
      <c r="C307" s="3">
        <f>IF(A307="","",(-PMT(Refinance_Calculator!$C$13/12,Refinance_Calculator!$C$16,Full_Report!$B$86,0,0)))</f>
        <v>125.46601034901943</v>
      </c>
      <c r="D307" s="3">
        <f t="shared" si="21"/>
        <v>14.880554700062959</v>
      </c>
      <c r="E307" s="3">
        <f>IF(A307="","",(-PPMT(Refinance_Calculator!$C$13/12,Full_Report!A307,Refinance_Calculator!$C$16,Full_Report!$B$86,0,0)))</f>
        <v>110.58545564895647</v>
      </c>
      <c r="F307" s="3">
        <f t="shared" si="22"/>
        <v>2121.4977493604897</v>
      </c>
      <c r="G307" s="5">
        <f t="shared" si="18"/>
        <v>12878.502250639516</v>
      </c>
      <c r="H307" s="5">
        <f t="shared" si="19"/>
        <v>14974.952046842809</v>
      </c>
      <c r="J307"/>
      <c r="K307"/>
      <c r="L307"/>
      <c r="M307"/>
      <c r="O307"/>
      <c r="P307"/>
      <c r="Q307"/>
    </row>
    <row r="308" spans="1:17" ht="14.4" x14ac:dyDescent="0.3">
      <c r="A308" s="1">
        <f>IF(OR(A307="",F307=0,A307=Refinance_Calculator!$C$16),"",A307+1)</f>
        <v>223</v>
      </c>
      <c r="B308" s="3">
        <f t="shared" si="20"/>
        <v>2121.4977493604897</v>
      </c>
      <c r="C308" s="3">
        <f>IF(A308="","",(-PMT(Refinance_Calculator!$C$13/12,Refinance_Calculator!$C$16,Full_Report!$B$86,0,0)))</f>
        <v>125.46601034901943</v>
      </c>
      <c r="D308" s="3">
        <f t="shared" si="21"/>
        <v>14.143318329069913</v>
      </c>
      <c r="E308" s="3">
        <f>IF(A308="","",(-PPMT(Refinance_Calculator!$C$13/12,Full_Report!A308,Refinance_Calculator!$C$16,Full_Report!$B$86,0,0)))</f>
        <v>111.32269201994951</v>
      </c>
      <c r="F308" s="3">
        <f t="shared" si="22"/>
        <v>2010.1750573405402</v>
      </c>
      <c r="G308" s="5">
        <f t="shared" si="18"/>
        <v>12989.824942659467</v>
      </c>
      <c r="H308" s="5">
        <f t="shared" si="19"/>
        <v>14989.095365171879</v>
      </c>
      <c r="J308"/>
      <c r="K308"/>
      <c r="L308"/>
      <c r="M308"/>
      <c r="O308"/>
      <c r="P308"/>
      <c r="Q308"/>
    </row>
    <row r="309" spans="1:17" ht="14.4" x14ac:dyDescent="0.3">
      <c r="A309" s="1">
        <f>IF(OR(A308="",F308=0,A308=Refinance_Calculator!$C$16),"",A308+1)</f>
        <v>224</v>
      </c>
      <c r="B309" s="3">
        <f t="shared" si="20"/>
        <v>2010.1750573405402</v>
      </c>
      <c r="C309" s="3">
        <f>IF(A309="","",(-PMT(Refinance_Calculator!$C$13/12,Refinance_Calculator!$C$16,Full_Report!$B$86,0,0)))</f>
        <v>125.46601034901943</v>
      </c>
      <c r="D309" s="3">
        <f t="shared" si="21"/>
        <v>13.401167048936898</v>
      </c>
      <c r="E309" s="3">
        <f>IF(A309="","",(-PPMT(Refinance_Calculator!$C$13/12,Full_Report!A309,Refinance_Calculator!$C$16,Full_Report!$B$86,0,0)))</f>
        <v>112.06484330008253</v>
      </c>
      <c r="F309" s="3">
        <f t="shared" si="22"/>
        <v>1898.1102140404578</v>
      </c>
      <c r="G309" s="5">
        <f t="shared" si="18"/>
        <v>13101.889785959549</v>
      </c>
      <c r="H309" s="5">
        <f t="shared" si="19"/>
        <v>15002.496532220815</v>
      </c>
      <c r="J309"/>
      <c r="K309"/>
      <c r="L309"/>
      <c r="M309"/>
      <c r="O309"/>
      <c r="P309"/>
      <c r="Q309"/>
    </row>
    <row r="310" spans="1:17" ht="14.4" x14ac:dyDescent="0.3">
      <c r="A310" s="1">
        <f>IF(OR(A309="",F309=0,A309=Refinance_Calculator!$C$16),"",A309+1)</f>
        <v>225</v>
      </c>
      <c r="B310" s="3">
        <f t="shared" si="20"/>
        <v>1898.1102140404578</v>
      </c>
      <c r="C310" s="3">
        <f>IF(A310="","",(-PMT(Refinance_Calculator!$C$13/12,Refinance_Calculator!$C$16,Full_Report!$B$86,0,0)))</f>
        <v>125.46601034901943</v>
      </c>
      <c r="D310" s="3">
        <f t="shared" si="21"/>
        <v>12.654068093603016</v>
      </c>
      <c r="E310" s="3">
        <f>IF(A310="","",(-PPMT(Refinance_Calculator!$C$13/12,Full_Report!A310,Refinance_Calculator!$C$16,Full_Report!$B$86,0,0)))</f>
        <v>112.81194225541641</v>
      </c>
      <c r="F310" s="3">
        <f t="shared" si="22"/>
        <v>1785.2982717850414</v>
      </c>
      <c r="G310" s="5">
        <f t="shared" si="18"/>
        <v>13214.701728214966</v>
      </c>
      <c r="H310" s="5">
        <f t="shared" si="19"/>
        <v>15015.150600314419</v>
      </c>
      <c r="J310"/>
      <c r="K310"/>
      <c r="L310"/>
      <c r="M310"/>
      <c r="O310"/>
      <c r="P310"/>
      <c r="Q310"/>
    </row>
    <row r="311" spans="1:17" ht="14.4" x14ac:dyDescent="0.3">
      <c r="A311" s="1">
        <f>IF(OR(A310="",F310=0,A310=Refinance_Calculator!$C$16),"",A310+1)</f>
        <v>226</v>
      </c>
      <c r="B311" s="3">
        <f t="shared" si="20"/>
        <v>1785.2982717850414</v>
      </c>
      <c r="C311" s="3">
        <f>IF(A311="","",(-PMT(Refinance_Calculator!$C$13/12,Refinance_Calculator!$C$16,Full_Report!$B$86,0,0)))</f>
        <v>125.46601034901943</v>
      </c>
      <c r="D311" s="3">
        <f t="shared" si="21"/>
        <v>11.901988478566906</v>
      </c>
      <c r="E311" s="3">
        <f>IF(A311="","",(-PPMT(Refinance_Calculator!$C$13/12,Full_Report!A311,Refinance_Calculator!$C$16,Full_Report!$B$86,0,0)))</f>
        <v>113.56402187045252</v>
      </c>
      <c r="F311" s="3">
        <f t="shared" si="22"/>
        <v>1671.7342499145889</v>
      </c>
      <c r="G311" s="5">
        <f t="shared" si="18"/>
        <v>13328.265750085418</v>
      </c>
      <c r="H311" s="5">
        <f t="shared" si="19"/>
        <v>15027.052588792985</v>
      </c>
      <c r="J311"/>
      <c r="K311"/>
      <c r="L311"/>
      <c r="M311"/>
      <c r="O311"/>
      <c r="P311"/>
      <c r="Q311"/>
    </row>
    <row r="312" spans="1:17" ht="14.4" x14ac:dyDescent="0.3">
      <c r="A312" s="1">
        <f>IF(OR(A311="",F311=0,A311=Refinance_Calculator!$C$16),"",A311+1)</f>
        <v>227</v>
      </c>
      <c r="B312" s="3">
        <f t="shared" si="20"/>
        <v>1671.7342499145889</v>
      </c>
      <c r="C312" s="3">
        <f>IF(A312="","",(-PMT(Refinance_Calculator!$C$13/12,Refinance_Calculator!$C$16,Full_Report!$B$86,0,0)))</f>
        <v>125.46601034901943</v>
      </c>
      <c r="D312" s="3">
        <f t="shared" si="21"/>
        <v>11.144894999430548</v>
      </c>
      <c r="E312" s="3">
        <f>IF(A312="","",(-PPMT(Refinance_Calculator!$C$13/12,Full_Report!A312,Refinance_Calculator!$C$16,Full_Report!$B$86,0,0)))</f>
        <v>114.32111534958888</v>
      </c>
      <c r="F312" s="3">
        <f t="shared" si="22"/>
        <v>1557.4131345650001</v>
      </c>
      <c r="G312" s="5">
        <f t="shared" si="18"/>
        <v>13442.586865435007</v>
      </c>
      <c r="H312" s="5">
        <f t="shared" si="19"/>
        <v>15038.197483792415</v>
      </c>
      <c r="J312"/>
      <c r="K312"/>
      <c r="L312"/>
      <c r="M312"/>
      <c r="O312"/>
      <c r="P312"/>
      <c r="Q312"/>
    </row>
    <row r="313" spans="1:17" ht="14.4" x14ac:dyDescent="0.3">
      <c r="A313" s="1">
        <f>IF(OR(A312="",F312=0,A312=Refinance_Calculator!$C$16),"",A312+1)</f>
        <v>228</v>
      </c>
      <c r="B313" s="3">
        <f t="shared" si="20"/>
        <v>1557.4131345650001</v>
      </c>
      <c r="C313" s="3">
        <f>IF(A313="","",(-PMT(Refinance_Calculator!$C$13/12,Refinance_Calculator!$C$16,Full_Report!$B$86,0,0)))</f>
        <v>125.46601034901943</v>
      </c>
      <c r="D313" s="3">
        <f t="shared" si="21"/>
        <v>10.382754230433306</v>
      </c>
      <c r="E313" s="3">
        <f>IF(A313="","",(-PPMT(Refinance_Calculator!$C$13/12,Full_Report!A313,Refinance_Calculator!$C$16,Full_Report!$B$86,0,0)))</f>
        <v>115.08325611858612</v>
      </c>
      <c r="F313" s="3">
        <f t="shared" si="22"/>
        <v>1442.3298784464139</v>
      </c>
      <c r="G313" s="5">
        <f t="shared" si="18"/>
        <v>13557.670121553592</v>
      </c>
      <c r="H313" s="5">
        <f t="shared" si="19"/>
        <v>15048.580238022849</v>
      </c>
      <c r="J313"/>
      <c r="K313"/>
      <c r="L313"/>
      <c r="M313"/>
      <c r="O313"/>
      <c r="P313"/>
      <c r="Q313"/>
    </row>
    <row r="314" spans="1:17" ht="14.4" x14ac:dyDescent="0.3">
      <c r="A314" s="1">
        <f>IF(OR(A313="",F313=0,A313=Refinance_Calculator!$C$16),"",A313+1)</f>
        <v>229</v>
      </c>
      <c r="B314" s="3">
        <f t="shared" si="20"/>
        <v>1442.3298784464139</v>
      </c>
      <c r="C314" s="3">
        <f>IF(A314="","",(-PMT(Refinance_Calculator!$C$13/12,Refinance_Calculator!$C$16,Full_Report!$B$86,0,0)))</f>
        <v>125.46601034901943</v>
      </c>
      <c r="D314" s="3">
        <f t="shared" si="21"/>
        <v>9.6155325229760678</v>
      </c>
      <c r="E314" s="3">
        <f>IF(A314="","",(-PPMT(Refinance_Calculator!$C$13/12,Full_Report!A314,Refinance_Calculator!$C$16,Full_Report!$B$86,0,0)))</f>
        <v>115.85047782604336</v>
      </c>
      <c r="F314" s="3">
        <f t="shared" si="22"/>
        <v>1326.4794006203706</v>
      </c>
      <c r="G314" s="5">
        <f t="shared" si="18"/>
        <v>13673.520599379635</v>
      </c>
      <c r="H314" s="5">
        <f t="shared" si="19"/>
        <v>15058.195770545824</v>
      </c>
      <c r="J314"/>
      <c r="K314"/>
      <c r="L314"/>
      <c r="M314"/>
      <c r="O314"/>
      <c r="P314"/>
      <c r="Q314"/>
    </row>
    <row r="315" spans="1:17" ht="14.4" x14ac:dyDescent="0.3">
      <c r="A315" s="1">
        <f>IF(OR(A314="",F314=0,A314=Refinance_Calculator!$C$16),"",A314+1)</f>
        <v>230</v>
      </c>
      <c r="B315" s="3">
        <f t="shared" si="20"/>
        <v>1326.4794006203706</v>
      </c>
      <c r="C315" s="3">
        <f>IF(A315="","",(-PMT(Refinance_Calculator!$C$13/12,Refinance_Calculator!$C$16,Full_Report!$B$86,0,0)))</f>
        <v>125.46601034901943</v>
      </c>
      <c r="D315" s="3">
        <f t="shared" si="21"/>
        <v>8.8431960041357769</v>
      </c>
      <c r="E315" s="3">
        <f>IF(A315="","",(-PPMT(Refinance_Calculator!$C$13/12,Full_Report!A315,Refinance_Calculator!$C$16,Full_Report!$B$86,0,0)))</f>
        <v>116.62281434488365</v>
      </c>
      <c r="F315" s="3">
        <f t="shared" si="22"/>
        <v>1209.856586275487</v>
      </c>
      <c r="G315" s="5">
        <f t="shared" si="18"/>
        <v>13790.14341372452</v>
      </c>
      <c r="H315" s="5">
        <f t="shared" si="19"/>
        <v>15067.038966549961</v>
      </c>
      <c r="J315"/>
      <c r="K315"/>
      <c r="L315"/>
      <c r="M315"/>
      <c r="O315"/>
      <c r="P315"/>
      <c r="Q315"/>
    </row>
    <row r="316" spans="1:17" ht="14.4" x14ac:dyDescent="0.3">
      <c r="A316" s="1">
        <f>IF(OR(A315="",F315=0,A315=Refinance_Calculator!$C$16),"",A315+1)</f>
        <v>231</v>
      </c>
      <c r="B316" s="3">
        <f t="shared" si="20"/>
        <v>1209.856586275487</v>
      </c>
      <c r="C316" s="3">
        <f>IF(A316="","",(-PMT(Refinance_Calculator!$C$13/12,Refinance_Calculator!$C$16,Full_Report!$B$86,0,0)))</f>
        <v>125.46601034901943</v>
      </c>
      <c r="D316" s="3">
        <f t="shared" si="21"/>
        <v>8.0657105751699021</v>
      </c>
      <c r="E316" s="3">
        <f>IF(A316="","",(-PPMT(Refinance_Calculator!$C$13/12,Full_Report!A316,Refinance_Calculator!$C$16,Full_Report!$B$86,0,0)))</f>
        <v>117.40029977384953</v>
      </c>
      <c r="F316" s="3">
        <f t="shared" si="22"/>
        <v>1092.4562865016374</v>
      </c>
      <c r="G316" s="5">
        <f t="shared" si="18"/>
        <v>13907.543713498369</v>
      </c>
      <c r="H316" s="5">
        <f t="shared" si="19"/>
        <v>15075.104677125131</v>
      </c>
      <c r="J316"/>
      <c r="K316"/>
      <c r="L316"/>
      <c r="M316"/>
      <c r="O316"/>
      <c r="P316"/>
      <c r="Q316"/>
    </row>
    <row r="317" spans="1:17" ht="14.4" x14ac:dyDescent="0.3">
      <c r="A317" s="1">
        <f>IF(OR(A316="",F316=0,A316=Refinance_Calculator!$C$16),"",A316+1)</f>
        <v>232</v>
      </c>
      <c r="B317" s="3">
        <f t="shared" si="20"/>
        <v>1092.4562865016374</v>
      </c>
      <c r="C317" s="3">
        <f>IF(A317="","",(-PMT(Refinance_Calculator!$C$13/12,Refinance_Calculator!$C$16,Full_Report!$B$86,0,0)))</f>
        <v>125.46601034901943</v>
      </c>
      <c r="D317" s="3">
        <f t="shared" si="21"/>
        <v>7.2830419100108941</v>
      </c>
      <c r="E317" s="3">
        <f>IF(A317="","",(-PPMT(Refinance_Calculator!$C$13/12,Full_Report!A317,Refinance_Calculator!$C$16,Full_Report!$B$86,0,0)))</f>
        <v>118.18296843900853</v>
      </c>
      <c r="F317" s="3">
        <f t="shared" si="22"/>
        <v>974.27331806262885</v>
      </c>
      <c r="G317" s="5">
        <f t="shared" si="18"/>
        <v>14025.726681937378</v>
      </c>
      <c r="H317" s="5">
        <f t="shared" si="19"/>
        <v>15082.387719035141</v>
      </c>
      <c r="J317"/>
      <c r="K317"/>
      <c r="L317"/>
      <c r="M317"/>
      <c r="O317"/>
      <c r="P317"/>
      <c r="Q317"/>
    </row>
    <row r="318" spans="1:17" ht="14.4" x14ac:dyDescent="0.3">
      <c r="A318" s="1">
        <f>IF(OR(A317="",F317=0,A317=Refinance_Calculator!$C$16),"",A317+1)</f>
        <v>233</v>
      </c>
      <c r="B318" s="3">
        <f t="shared" si="20"/>
        <v>974.27331806262885</v>
      </c>
      <c r="C318" s="3">
        <f>IF(A318="","",(-PMT(Refinance_Calculator!$C$13/12,Refinance_Calculator!$C$16,Full_Report!$B$86,0,0)))</f>
        <v>125.46601034901943</v>
      </c>
      <c r="D318" s="3">
        <f t="shared" si="21"/>
        <v>6.4951554537508258</v>
      </c>
      <c r="E318" s="3">
        <f>IF(A318="","",(-PPMT(Refinance_Calculator!$C$13/12,Full_Report!A318,Refinance_Calculator!$C$16,Full_Report!$B$86,0,0)))</f>
        <v>118.9708548952686</v>
      </c>
      <c r="F318" s="3">
        <f t="shared" si="22"/>
        <v>855.3024631673602</v>
      </c>
      <c r="G318" s="5">
        <f t="shared" si="18"/>
        <v>14144.697536832648</v>
      </c>
      <c r="H318" s="5">
        <f t="shared" si="19"/>
        <v>15088.882874488892</v>
      </c>
      <c r="J318"/>
      <c r="K318"/>
      <c r="L318"/>
      <c r="M318"/>
      <c r="O318"/>
      <c r="P318"/>
      <c r="Q318"/>
    </row>
    <row r="319" spans="1:17" ht="14.4" x14ac:dyDescent="0.3">
      <c r="A319" s="1">
        <f>IF(OR(A318="",F318=0,A318=Refinance_Calculator!$C$16),"",A318+1)</f>
        <v>234</v>
      </c>
      <c r="B319" s="3">
        <f t="shared" si="20"/>
        <v>855.3024631673602</v>
      </c>
      <c r="C319" s="3">
        <f>IF(A319="","",(-PMT(Refinance_Calculator!$C$13/12,Refinance_Calculator!$C$16,Full_Report!$B$86,0,0)))</f>
        <v>125.46601034901943</v>
      </c>
      <c r="D319" s="3">
        <f t="shared" si="21"/>
        <v>5.702016421115701</v>
      </c>
      <c r="E319" s="3">
        <f>IF(A319="","",(-PPMT(Refinance_Calculator!$C$13/12,Full_Report!A319,Refinance_Calculator!$C$16,Full_Report!$B$86,0,0)))</f>
        <v>119.76399392790373</v>
      </c>
      <c r="F319" s="3">
        <f t="shared" si="22"/>
        <v>735.5384692394565</v>
      </c>
      <c r="G319" s="5">
        <f t="shared" si="18"/>
        <v>14264.461530760551</v>
      </c>
      <c r="H319" s="5">
        <f t="shared" si="19"/>
        <v>15094.584890910008</v>
      </c>
      <c r="J319"/>
      <c r="K319"/>
      <c r="L319"/>
      <c r="M319"/>
      <c r="O319"/>
      <c r="P319"/>
      <c r="Q319"/>
    </row>
    <row r="320" spans="1:17" ht="14.4" x14ac:dyDescent="0.3">
      <c r="A320" s="1">
        <f>IF(OR(A319="",F319=0,A319=Refinance_Calculator!$C$16),"",A319+1)</f>
        <v>235</v>
      </c>
      <c r="B320" s="3">
        <f t="shared" si="20"/>
        <v>735.5384692394565</v>
      </c>
      <c r="C320" s="3">
        <f>IF(A320="","",(-PMT(Refinance_Calculator!$C$13/12,Refinance_Calculator!$C$16,Full_Report!$B$86,0,0)))</f>
        <v>125.46601034901943</v>
      </c>
      <c r="D320" s="3">
        <f t="shared" si="21"/>
        <v>4.9035897949296725</v>
      </c>
      <c r="E320" s="3">
        <f>IF(A320="","",(-PPMT(Refinance_Calculator!$C$13/12,Full_Report!A320,Refinance_Calculator!$C$16,Full_Report!$B$86,0,0)))</f>
        <v>120.56242055408975</v>
      </c>
      <c r="F320" s="3">
        <f t="shared" si="22"/>
        <v>614.97604868536678</v>
      </c>
      <c r="G320" s="5">
        <f t="shared" si="18"/>
        <v>14385.023951314641</v>
      </c>
      <c r="H320" s="5">
        <f t="shared" si="19"/>
        <v>15099.488480704937</v>
      </c>
      <c r="J320"/>
      <c r="K320"/>
      <c r="L320"/>
      <c r="M320"/>
      <c r="O320"/>
      <c r="P320"/>
      <c r="Q320"/>
    </row>
    <row r="321" spans="1:17" ht="14.4" x14ac:dyDescent="0.3">
      <c r="A321" s="1">
        <f>IF(OR(A320="",F320=0,A320=Refinance_Calculator!$C$16),"",A320+1)</f>
        <v>236</v>
      </c>
      <c r="B321" s="3">
        <f t="shared" si="20"/>
        <v>614.97604868536678</v>
      </c>
      <c r="C321" s="3">
        <f>IF(A321="","",(-PMT(Refinance_Calculator!$C$13/12,Refinance_Calculator!$C$16,Full_Report!$B$86,0,0)))</f>
        <v>125.46601034901943</v>
      </c>
      <c r="D321" s="3">
        <f t="shared" si="21"/>
        <v>4.0998403245690724</v>
      </c>
      <c r="E321" s="3">
        <f>IF(A321="","",(-PPMT(Refinance_Calculator!$C$13/12,Full_Report!A321,Refinance_Calculator!$C$16,Full_Report!$B$86,0,0)))</f>
        <v>121.36617002445035</v>
      </c>
      <c r="F321" s="3">
        <f t="shared" si="22"/>
        <v>493.60987866091642</v>
      </c>
      <c r="G321" s="5">
        <f t="shared" si="18"/>
        <v>14506.390121339091</v>
      </c>
      <c r="H321" s="5">
        <f t="shared" si="19"/>
        <v>15103.588321029505</v>
      </c>
      <c r="J321"/>
      <c r="K321"/>
      <c r="L321"/>
      <c r="M321"/>
      <c r="O321"/>
      <c r="P321"/>
      <c r="Q321"/>
    </row>
    <row r="322" spans="1:17" ht="14.4" x14ac:dyDescent="0.3">
      <c r="A322" s="1">
        <f>IF(OR(A321="",F321=0,A321=Refinance_Calculator!$C$16),"",A321+1)</f>
        <v>237</v>
      </c>
      <c r="B322" s="3">
        <f t="shared" si="20"/>
        <v>493.60987866091642</v>
      </c>
      <c r="C322" s="3">
        <f>IF(A322="","",(-PMT(Refinance_Calculator!$C$13/12,Refinance_Calculator!$C$16,Full_Report!$B$86,0,0)))</f>
        <v>125.46601034901943</v>
      </c>
      <c r="D322" s="3">
        <f t="shared" si="21"/>
        <v>3.2907325244060814</v>
      </c>
      <c r="E322" s="3">
        <f>IF(A322="","",(-PPMT(Refinance_Calculator!$C$13/12,Full_Report!A322,Refinance_Calculator!$C$16,Full_Report!$B$86,0,0)))</f>
        <v>122.17527782461335</v>
      </c>
      <c r="F322" s="3">
        <f t="shared" si="22"/>
        <v>371.43460083630305</v>
      </c>
      <c r="G322" s="5">
        <f t="shared" si="18"/>
        <v>14628.565399163705</v>
      </c>
      <c r="H322" s="5">
        <f t="shared" si="19"/>
        <v>15106.879053553912</v>
      </c>
      <c r="J322"/>
      <c r="K322"/>
      <c r="L322"/>
      <c r="M322"/>
      <c r="O322"/>
      <c r="P322"/>
      <c r="Q322"/>
    </row>
    <row r="323" spans="1:17" ht="14.4" x14ac:dyDescent="0.3">
      <c r="A323" s="1">
        <f>IF(OR(A322="",F322=0,A322=Refinance_Calculator!$C$16),"",A322+1)</f>
        <v>238</v>
      </c>
      <c r="B323" s="3">
        <f t="shared" si="20"/>
        <v>371.43460083630305</v>
      </c>
      <c r="C323" s="3">
        <f>IF(A323="","",(-PMT(Refinance_Calculator!$C$13/12,Refinance_Calculator!$C$16,Full_Report!$B$86,0,0)))</f>
        <v>125.46601034901943</v>
      </c>
      <c r="D323" s="3">
        <f t="shared" si="21"/>
        <v>2.476230672241968</v>
      </c>
      <c r="E323" s="3">
        <f>IF(A323="","",(-PPMT(Refinance_Calculator!$C$13/12,Full_Report!A323,Refinance_Calculator!$C$16,Full_Report!$B$86,0,0)))</f>
        <v>122.98977967677746</v>
      </c>
      <c r="F323" s="3">
        <f t="shared" si="22"/>
        <v>248.44482115952559</v>
      </c>
      <c r="G323" s="5">
        <f t="shared" si="18"/>
        <v>14751.555178840483</v>
      </c>
      <c r="H323" s="5">
        <f t="shared" si="19"/>
        <v>15109.355284226154</v>
      </c>
      <c r="J323"/>
      <c r="K323"/>
      <c r="L323"/>
      <c r="M323"/>
      <c r="O323"/>
      <c r="P323"/>
      <c r="Q323"/>
    </row>
    <row r="324" spans="1:17" ht="14.4" x14ac:dyDescent="0.3">
      <c r="A324" s="1">
        <f>IF(OR(A323="",F323=0,A323=Refinance_Calculator!$C$16),"",A323+1)</f>
        <v>239</v>
      </c>
      <c r="B324" s="3">
        <f t="shared" si="20"/>
        <v>248.44482115952559</v>
      </c>
      <c r="C324" s="3">
        <f>IF(A324="","",(-PMT(Refinance_Calculator!$C$13/12,Refinance_Calculator!$C$16,Full_Report!$B$86,0,0)))</f>
        <v>125.46601034901943</v>
      </c>
      <c r="D324" s="3">
        <f t="shared" si="21"/>
        <v>1.6562988077301526</v>
      </c>
      <c r="E324" s="3">
        <f>IF(A324="","",(-PPMT(Refinance_Calculator!$C$13/12,Full_Report!A324,Refinance_Calculator!$C$16,Full_Report!$B$86,0,0)))</f>
        <v>123.80971154128927</v>
      </c>
      <c r="F324" s="3">
        <f t="shared" si="22"/>
        <v>124.63510961823631</v>
      </c>
      <c r="G324" s="5">
        <f t="shared" si="18"/>
        <v>14875.364890381772</v>
      </c>
      <c r="H324" s="5">
        <f t="shared" si="19"/>
        <v>15111.011583033884</v>
      </c>
      <c r="J324"/>
      <c r="K324"/>
      <c r="L324"/>
      <c r="M324"/>
      <c r="O324"/>
      <c r="P324"/>
      <c r="Q324"/>
    </row>
    <row r="325" spans="1:17" ht="14.4" x14ac:dyDescent="0.3">
      <c r="A325" s="1">
        <f>IF(OR(A324="",F324=0,A324=Refinance_Calculator!$C$16),"",A324+1)</f>
        <v>240</v>
      </c>
      <c r="B325" s="3">
        <f t="shared" si="20"/>
        <v>124.63510961823631</v>
      </c>
      <c r="C325" s="3">
        <f>IF(A325="","",(-PMT(Refinance_Calculator!$C$13/12,Refinance_Calculator!$C$16,Full_Report!$B$86,0,0)))</f>
        <v>125.46601034901943</v>
      </c>
      <c r="D325" s="3">
        <f t="shared" si="21"/>
        <v>0.83090073078822968</v>
      </c>
      <c r="E325" s="3">
        <f>IF(A325="","",(-PPMT(Refinance_Calculator!$C$13/12,Full_Report!A325,Refinance_Calculator!$C$16,Full_Report!$B$86,0,0)))</f>
        <v>124.6351096182312</v>
      </c>
      <c r="F325" s="3">
        <f t="shared" si="22"/>
        <v>5.1159076974727213E-12</v>
      </c>
      <c r="G325" s="5">
        <f t="shared" si="18"/>
        <v>15000.000000000004</v>
      </c>
      <c r="H325" s="5">
        <f t="shared" si="19"/>
        <v>15111.842483764673</v>
      </c>
      <c r="J325"/>
      <c r="K325"/>
      <c r="L325"/>
      <c r="M325"/>
      <c r="O325"/>
      <c r="P325"/>
      <c r="Q325"/>
    </row>
    <row r="326" spans="1:17" ht="14.4" x14ac:dyDescent="0.3">
      <c r="A326" s="1" t="str">
        <f>IF(OR(A325="",F325=0,A325=Refinance_Calculator!$C$16),"",A325+1)</f>
        <v/>
      </c>
      <c r="B326" s="3" t="str">
        <f t="shared" si="20"/>
        <v/>
      </c>
      <c r="C326" s="3" t="str">
        <f>IF(A326="","",(-PMT(Refinance_Calculator!$C$13/12,Refinance_Calculator!$C$16,Full_Report!$B$86,0,0)))</f>
        <v/>
      </c>
      <c r="D326" s="3" t="str">
        <f t="shared" si="21"/>
        <v/>
      </c>
      <c r="E326" s="3" t="str">
        <f>IF(A326="","",(-PPMT(Refinance_Calculator!$C$13/12,Full_Report!A326,Refinance_Calculator!$C$16,Full_Report!$B$86,0,0)))</f>
        <v/>
      </c>
      <c r="F326" s="3" t="str">
        <f t="shared" si="22"/>
        <v/>
      </c>
      <c r="G326" s="5" t="str">
        <f t="shared" si="18"/>
        <v/>
      </c>
      <c r="H326" s="5" t="str">
        <f t="shared" si="19"/>
        <v/>
      </c>
      <c r="J326"/>
      <c r="K326"/>
      <c r="L326"/>
      <c r="M326"/>
      <c r="O326"/>
      <c r="P326"/>
      <c r="Q326"/>
    </row>
    <row r="327" spans="1:17" ht="14.4" x14ac:dyDescent="0.3">
      <c r="A327" s="1" t="str">
        <f>IF(OR(A326="",F326=0,A326=Refinance_Calculator!$C$16),"",A326+1)</f>
        <v/>
      </c>
      <c r="B327" s="3" t="str">
        <f t="shared" si="20"/>
        <v/>
      </c>
      <c r="C327" s="3" t="str">
        <f>IF(A327="","",(-PMT(Refinance_Calculator!$C$13/12,Refinance_Calculator!$C$16,Full_Report!$B$86,0,0)))</f>
        <v/>
      </c>
      <c r="D327" s="3" t="str">
        <f t="shared" si="21"/>
        <v/>
      </c>
      <c r="E327" s="3" t="str">
        <f>IF(A327="","",(-PPMT(Refinance_Calculator!$C$13/12,Full_Report!A327,Refinance_Calculator!$C$16,Full_Report!$B$86,0,0)))</f>
        <v/>
      </c>
      <c r="F327" s="3" t="str">
        <f t="shared" si="22"/>
        <v/>
      </c>
      <c r="G327" s="5" t="str">
        <f t="shared" si="18"/>
        <v/>
      </c>
      <c r="H327" s="5" t="str">
        <f t="shared" si="19"/>
        <v/>
      </c>
      <c r="J327"/>
      <c r="K327"/>
      <c r="L327"/>
      <c r="M327"/>
      <c r="O327"/>
      <c r="P327"/>
      <c r="Q327"/>
    </row>
    <row r="328" spans="1:17" ht="14.4" x14ac:dyDescent="0.3">
      <c r="A328" s="1" t="str">
        <f>IF(OR(A327="",F327=0,A327=Refinance_Calculator!$C$16),"",A327+1)</f>
        <v/>
      </c>
      <c r="B328" s="3" t="str">
        <f t="shared" si="20"/>
        <v/>
      </c>
      <c r="C328" s="3" t="str">
        <f>IF(A328="","",(-PMT(Refinance_Calculator!$C$13/12,Refinance_Calculator!$C$16,Full_Report!$B$86,0,0)))</f>
        <v/>
      </c>
      <c r="D328" s="3" t="str">
        <f t="shared" si="21"/>
        <v/>
      </c>
      <c r="E328" s="3" t="str">
        <f>IF(A328="","",(-PPMT(Refinance_Calculator!$C$13/12,Full_Report!A328,Refinance_Calculator!$C$16,Full_Report!$B$86,0,0)))</f>
        <v/>
      </c>
      <c r="F328" s="3" t="str">
        <f t="shared" si="22"/>
        <v/>
      </c>
      <c r="G328" s="5" t="str">
        <f t="shared" si="18"/>
        <v/>
      </c>
      <c r="H328" s="5" t="str">
        <f t="shared" si="19"/>
        <v/>
      </c>
      <c r="J328"/>
      <c r="K328"/>
      <c r="L328"/>
      <c r="M328"/>
      <c r="O328"/>
      <c r="P328"/>
      <c r="Q328"/>
    </row>
    <row r="329" spans="1:17" ht="14.4" x14ac:dyDescent="0.3">
      <c r="A329" s="1" t="str">
        <f>IF(OR(A328="",F328=0,A328=Refinance_Calculator!$C$16),"",A328+1)</f>
        <v/>
      </c>
      <c r="B329" s="3" t="str">
        <f t="shared" si="20"/>
        <v/>
      </c>
      <c r="C329" s="3" t="str">
        <f>IF(A329="","",(-PMT(Refinance_Calculator!$C$13/12,Refinance_Calculator!$C$16,Full_Report!$B$86,0,0)))</f>
        <v/>
      </c>
      <c r="D329" s="3" t="str">
        <f t="shared" si="21"/>
        <v/>
      </c>
      <c r="E329" s="3" t="str">
        <f>IF(A329="","",(-PPMT(Refinance_Calculator!$C$13/12,Full_Report!A329,Refinance_Calculator!$C$16,Full_Report!$B$86,0,0)))</f>
        <v/>
      </c>
      <c r="F329" s="3" t="str">
        <f t="shared" si="22"/>
        <v/>
      </c>
      <c r="G329" s="5" t="str">
        <f t="shared" si="18"/>
        <v/>
      </c>
      <c r="H329" s="5" t="str">
        <f t="shared" si="19"/>
        <v/>
      </c>
      <c r="J329"/>
      <c r="K329"/>
      <c r="L329"/>
      <c r="M329"/>
      <c r="O329"/>
      <c r="P329"/>
      <c r="Q329"/>
    </row>
    <row r="330" spans="1:17" ht="14.4" x14ac:dyDescent="0.3">
      <c r="A330" s="1" t="str">
        <f>IF(OR(A329="",F329=0,A329=Refinance_Calculator!$C$16),"",A329+1)</f>
        <v/>
      </c>
      <c r="B330" s="3" t="str">
        <f t="shared" si="20"/>
        <v/>
      </c>
      <c r="C330" s="3" t="str">
        <f>IF(A330="","",(-PMT(Refinance_Calculator!$C$13/12,Refinance_Calculator!$C$16,Full_Report!$B$86,0,0)))</f>
        <v/>
      </c>
      <c r="D330" s="3" t="str">
        <f t="shared" si="21"/>
        <v/>
      </c>
      <c r="E330" s="3" t="str">
        <f>IF(A330="","",(-PPMT(Refinance_Calculator!$C$13/12,Full_Report!A330,Refinance_Calculator!$C$16,Full_Report!$B$86,0,0)))</f>
        <v/>
      </c>
      <c r="F330" s="3" t="str">
        <f t="shared" si="22"/>
        <v/>
      </c>
      <c r="G330" s="5" t="str">
        <f t="shared" si="18"/>
        <v/>
      </c>
      <c r="H330" s="5" t="str">
        <f t="shared" si="19"/>
        <v/>
      </c>
      <c r="J330"/>
      <c r="K330"/>
      <c r="L330"/>
      <c r="M330"/>
      <c r="O330"/>
      <c r="P330"/>
      <c r="Q330"/>
    </row>
    <row r="331" spans="1:17" ht="14.4" x14ac:dyDescent="0.3">
      <c r="A331" s="1" t="str">
        <f>IF(OR(A330="",F330=0,A330=Refinance_Calculator!$C$16),"",A330+1)</f>
        <v/>
      </c>
      <c r="B331" s="3" t="str">
        <f t="shared" si="20"/>
        <v/>
      </c>
      <c r="C331" s="3" t="str">
        <f>IF(A331="","",(-PMT(Refinance_Calculator!$C$13/12,Refinance_Calculator!$C$16,Full_Report!$B$86,0,0)))</f>
        <v/>
      </c>
      <c r="D331" s="3" t="str">
        <f t="shared" si="21"/>
        <v/>
      </c>
      <c r="E331" s="3" t="str">
        <f>IF(A331="","",(-PPMT(Refinance_Calculator!$C$13/12,Full_Report!A331,Refinance_Calculator!$C$16,Full_Report!$B$86,0,0)))</f>
        <v/>
      </c>
      <c r="F331" s="3" t="str">
        <f t="shared" si="22"/>
        <v/>
      </c>
      <c r="G331" s="5" t="str">
        <f t="shared" si="18"/>
        <v/>
      </c>
      <c r="H331" s="5" t="str">
        <f t="shared" si="19"/>
        <v/>
      </c>
      <c r="J331"/>
      <c r="K331"/>
      <c r="L331"/>
      <c r="M331"/>
      <c r="O331"/>
      <c r="P331"/>
      <c r="Q331"/>
    </row>
    <row r="332" spans="1:17" ht="14.4" x14ac:dyDescent="0.3">
      <c r="A332" s="1" t="str">
        <f>IF(OR(A331="",F331=0,A331=Refinance_Calculator!$C$16),"",A331+1)</f>
        <v/>
      </c>
      <c r="B332" s="3" t="str">
        <f t="shared" si="20"/>
        <v/>
      </c>
      <c r="C332" s="3" t="str">
        <f>IF(A332="","",(-PMT(Refinance_Calculator!$C$13/12,Refinance_Calculator!$C$16,Full_Report!$B$86,0,0)))</f>
        <v/>
      </c>
      <c r="D332" s="3" t="str">
        <f t="shared" si="21"/>
        <v/>
      </c>
      <c r="E332" s="3" t="str">
        <f>IF(A332="","",(-PPMT(Refinance_Calculator!$C$13/12,Full_Report!A332,Refinance_Calculator!$C$16,Full_Report!$B$86,0,0)))</f>
        <v/>
      </c>
      <c r="F332" s="3" t="str">
        <f t="shared" si="22"/>
        <v/>
      </c>
      <c r="G332" s="5" t="str">
        <f t="shared" si="18"/>
        <v/>
      </c>
      <c r="H332" s="5" t="str">
        <f t="shared" si="19"/>
        <v/>
      </c>
      <c r="J332"/>
      <c r="K332"/>
      <c r="L332"/>
      <c r="M332"/>
      <c r="O332"/>
      <c r="P332"/>
      <c r="Q332"/>
    </row>
    <row r="333" spans="1:17" ht="14.4" x14ac:dyDescent="0.3">
      <c r="A333" s="1" t="str">
        <f>IF(OR(A332="",F332=0,A332=Refinance_Calculator!$C$16),"",A332+1)</f>
        <v/>
      </c>
      <c r="B333" s="3" t="str">
        <f t="shared" si="20"/>
        <v/>
      </c>
      <c r="C333" s="3" t="str">
        <f>IF(A333="","",(-PMT(Refinance_Calculator!$C$13/12,Refinance_Calculator!$C$16,Full_Report!$B$86,0,0)))</f>
        <v/>
      </c>
      <c r="D333" s="3" t="str">
        <f t="shared" si="21"/>
        <v/>
      </c>
      <c r="E333" s="3" t="str">
        <f>IF(A333="","",(-PPMT(Refinance_Calculator!$C$13/12,Full_Report!A333,Refinance_Calculator!$C$16,Full_Report!$B$86,0,0)))</f>
        <v/>
      </c>
      <c r="F333" s="3" t="str">
        <f t="shared" si="22"/>
        <v/>
      </c>
      <c r="G333" s="5" t="str">
        <f t="shared" si="18"/>
        <v/>
      </c>
      <c r="H333" s="5" t="str">
        <f t="shared" si="19"/>
        <v/>
      </c>
      <c r="J333"/>
      <c r="K333"/>
      <c r="L333"/>
      <c r="M333"/>
      <c r="O333"/>
      <c r="P333"/>
      <c r="Q333"/>
    </row>
    <row r="334" spans="1:17" ht="14.4" x14ac:dyDescent="0.3">
      <c r="A334" s="1" t="str">
        <f>IF(OR(A333="",F333=0,A333=Refinance_Calculator!$C$16),"",A333+1)</f>
        <v/>
      </c>
      <c r="B334" s="3" t="str">
        <f t="shared" si="20"/>
        <v/>
      </c>
      <c r="C334" s="3" t="str">
        <f>IF(A334="","",(-PMT(Refinance_Calculator!$C$13/12,Refinance_Calculator!$C$16,Full_Report!$B$86,0,0)))</f>
        <v/>
      </c>
      <c r="D334" s="3" t="str">
        <f t="shared" si="21"/>
        <v/>
      </c>
      <c r="E334" s="3" t="str">
        <f>IF(A334="","",(-PPMT(Refinance_Calculator!$C$13/12,Full_Report!A334,Refinance_Calculator!$C$16,Full_Report!$B$86,0,0)))</f>
        <v/>
      </c>
      <c r="F334" s="3" t="str">
        <f t="shared" si="22"/>
        <v/>
      </c>
      <c r="G334" s="5" t="str">
        <f t="shared" si="18"/>
        <v/>
      </c>
      <c r="H334" s="5" t="str">
        <f t="shared" si="19"/>
        <v/>
      </c>
      <c r="J334"/>
      <c r="K334"/>
      <c r="L334"/>
      <c r="M334"/>
      <c r="O334"/>
      <c r="P334"/>
      <c r="Q334"/>
    </row>
    <row r="335" spans="1:17" ht="14.4" x14ac:dyDescent="0.3">
      <c r="A335" s="1" t="str">
        <f>IF(OR(A334="",F334=0,A334=Refinance_Calculator!$C$16),"",A334+1)</f>
        <v/>
      </c>
      <c r="B335" s="3" t="str">
        <f t="shared" si="20"/>
        <v/>
      </c>
      <c r="C335" s="3" t="str">
        <f>IF(A335="","",(-PMT(Refinance_Calculator!$C$13/12,Refinance_Calculator!$C$16,Full_Report!$B$86,0,0)))</f>
        <v/>
      </c>
      <c r="D335" s="3" t="str">
        <f t="shared" si="21"/>
        <v/>
      </c>
      <c r="E335" s="3" t="str">
        <f>IF(A335="","",(-PPMT(Refinance_Calculator!$C$13/12,Full_Report!A335,Refinance_Calculator!$C$16,Full_Report!$B$86,0,0)))</f>
        <v/>
      </c>
      <c r="F335" s="3" t="str">
        <f t="shared" si="22"/>
        <v/>
      </c>
      <c r="G335" s="5" t="str">
        <f t="shared" si="18"/>
        <v/>
      </c>
      <c r="H335" s="5" t="str">
        <f t="shared" si="19"/>
        <v/>
      </c>
      <c r="J335"/>
      <c r="K335"/>
      <c r="L335"/>
      <c r="M335"/>
      <c r="O335"/>
      <c r="P335"/>
      <c r="Q335"/>
    </row>
    <row r="336" spans="1:17" ht="14.4" x14ac:dyDescent="0.3">
      <c r="A336" s="1" t="str">
        <f>IF(OR(A335="",F335=0,A335=Refinance_Calculator!$C$16),"",A335+1)</f>
        <v/>
      </c>
      <c r="B336" s="3" t="str">
        <f t="shared" si="20"/>
        <v/>
      </c>
      <c r="C336" s="3" t="str">
        <f>IF(A336="","",(-PMT(Refinance_Calculator!$C$13/12,Refinance_Calculator!$C$16,Full_Report!$B$86,0,0)))</f>
        <v/>
      </c>
      <c r="D336" s="3" t="str">
        <f t="shared" si="21"/>
        <v/>
      </c>
      <c r="E336" s="3" t="str">
        <f>IF(A336="","",(-PPMT(Refinance_Calculator!$C$13/12,Full_Report!A336,Refinance_Calculator!$C$16,Full_Report!$B$86,0,0)))</f>
        <v/>
      </c>
      <c r="F336" s="3" t="str">
        <f t="shared" si="22"/>
        <v/>
      </c>
      <c r="G336" s="5" t="str">
        <f t="shared" si="18"/>
        <v/>
      </c>
      <c r="H336" s="5" t="str">
        <f t="shared" si="19"/>
        <v/>
      </c>
      <c r="J336"/>
      <c r="K336"/>
      <c r="L336"/>
      <c r="M336"/>
      <c r="O336"/>
      <c r="P336"/>
      <c r="Q336"/>
    </row>
    <row r="337" spans="1:17" ht="14.4" x14ac:dyDescent="0.3">
      <c r="A337" s="1" t="str">
        <f>IF(OR(A336="",F336=0,A336=Refinance_Calculator!$C$16),"",A336+1)</f>
        <v/>
      </c>
      <c r="B337" s="3" t="str">
        <f t="shared" si="20"/>
        <v/>
      </c>
      <c r="C337" s="3" t="str">
        <f>IF(A337="","",(-PMT(Refinance_Calculator!$C$13/12,Refinance_Calculator!$C$16,Full_Report!$B$86,0,0)))</f>
        <v/>
      </c>
      <c r="D337" s="3" t="str">
        <f t="shared" si="21"/>
        <v/>
      </c>
      <c r="E337" s="3" t="str">
        <f>IF(A337="","",(-PPMT(Refinance_Calculator!$C$13/12,Full_Report!A337,Refinance_Calculator!$C$16,Full_Report!$B$86,0,0)))</f>
        <v/>
      </c>
      <c r="F337" s="3" t="str">
        <f t="shared" si="22"/>
        <v/>
      </c>
      <c r="G337" s="5" t="str">
        <f t="shared" si="18"/>
        <v/>
      </c>
      <c r="H337" s="5" t="str">
        <f t="shared" si="19"/>
        <v/>
      </c>
      <c r="J337"/>
      <c r="K337"/>
      <c r="L337"/>
      <c r="M337"/>
      <c r="O337"/>
      <c r="P337"/>
      <c r="Q337"/>
    </row>
    <row r="338" spans="1:17" ht="14.4" x14ac:dyDescent="0.3">
      <c r="A338" s="1" t="str">
        <f>IF(OR(A337="",F337=0,A337=Refinance_Calculator!$C$16),"",A337+1)</f>
        <v/>
      </c>
      <c r="B338" s="3" t="str">
        <f t="shared" si="20"/>
        <v/>
      </c>
      <c r="C338" s="3" t="str">
        <f>IF(A338="","",(-PMT(Refinance_Calculator!$C$13/12,Refinance_Calculator!$C$16,Full_Report!$B$86,0,0)))</f>
        <v/>
      </c>
      <c r="D338" s="3" t="str">
        <f t="shared" si="21"/>
        <v/>
      </c>
      <c r="E338" s="3" t="str">
        <f>IF(A338="","",(-PPMT(Refinance_Calculator!$C$13/12,Full_Report!A338,Refinance_Calculator!$C$16,Full_Report!$B$86,0,0)))</f>
        <v/>
      </c>
      <c r="F338" s="3" t="str">
        <f t="shared" si="22"/>
        <v/>
      </c>
      <c r="G338" s="5" t="str">
        <f t="shared" si="18"/>
        <v/>
      </c>
      <c r="H338" s="5" t="str">
        <f t="shared" si="19"/>
        <v/>
      </c>
      <c r="J338"/>
      <c r="K338"/>
      <c r="L338"/>
      <c r="M338"/>
      <c r="O338"/>
      <c r="P338"/>
      <c r="Q338"/>
    </row>
    <row r="339" spans="1:17" ht="14.4" x14ac:dyDescent="0.3">
      <c r="A339" s="1" t="str">
        <f>IF(OR(A338="",F338=0,A338=Refinance_Calculator!$C$16),"",A338+1)</f>
        <v/>
      </c>
      <c r="B339" s="3" t="str">
        <f t="shared" si="20"/>
        <v/>
      </c>
      <c r="C339" s="3" t="str">
        <f>IF(A339="","",(-PMT(Refinance_Calculator!$C$13/12,Refinance_Calculator!$C$16,Full_Report!$B$86,0,0)))</f>
        <v/>
      </c>
      <c r="D339" s="3" t="str">
        <f t="shared" si="21"/>
        <v/>
      </c>
      <c r="E339" s="3" t="str">
        <f>IF(A339="","",(-PPMT(Refinance_Calculator!$C$13/12,Full_Report!A339,Refinance_Calculator!$C$16,Full_Report!$B$86,0,0)))</f>
        <v/>
      </c>
      <c r="F339" s="3" t="str">
        <f t="shared" si="22"/>
        <v/>
      </c>
      <c r="G339" s="5" t="str">
        <f t="shared" si="18"/>
        <v/>
      </c>
      <c r="H339" s="5" t="str">
        <f t="shared" si="19"/>
        <v/>
      </c>
      <c r="J339"/>
      <c r="K339"/>
      <c r="L339"/>
      <c r="M339"/>
      <c r="O339"/>
      <c r="P339"/>
      <c r="Q339"/>
    </row>
    <row r="340" spans="1:17" ht="14.4" x14ac:dyDescent="0.3">
      <c r="A340" s="1" t="str">
        <f>IF(OR(A339="",F339=0,A339=Refinance_Calculator!$C$16),"",A339+1)</f>
        <v/>
      </c>
      <c r="B340" s="3" t="str">
        <f t="shared" si="20"/>
        <v/>
      </c>
      <c r="C340" s="3" t="str">
        <f>IF(A340="","",(-PMT(Refinance_Calculator!$C$13/12,Refinance_Calculator!$C$16,Full_Report!$B$86,0,0)))</f>
        <v/>
      </c>
      <c r="D340" s="3" t="str">
        <f t="shared" si="21"/>
        <v/>
      </c>
      <c r="E340" s="3" t="str">
        <f>IF(A340="","",(-PPMT(Refinance_Calculator!$C$13/12,Full_Report!A340,Refinance_Calculator!$C$16,Full_Report!$B$86,0,0)))</f>
        <v/>
      </c>
      <c r="F340" s="3" t="str">
        <f t="shared" si="22"/>
        <v/>
      </c>
      <c r="G340" s="5" t="str">
        <f t="shared" si="18"/>
        <v/>
      </c>
      <c r="H340" s="5" t="str">
        <f t="shared" si="19"/>
        <v/>
      </c>
      <c r="J340"/>
      <c r="K340"/>
      <c r="L340"/>
      <c r="M340"/>
      <c r="O340"/>
      <c r="P340"/>
      <c r="Q340"/>
    </row>
    <row r="341" spans="1:17" ht="14.4" x14ac:dyDescent="0.3">
      <c r="A341" s="1" t="str">
        <f>IF(OR(A340="",F340=0,A340=Refinance_Calculator!$C$16),"",A340+1)</f>
        <v/>
      </c>
      <c r="B341" s="3" t="str">
        <f t="shared" si="20"/>
        <v/>
      </c>
      <c r="C341" s="3" t="str">
        <f>IF(A341="","",(-PMT(Refinance_Calculator!$C$13/12,Refinance_Calculator!$C$16,Full_Report!$B$86,0,0)))</f>
        <v/>
      </c>
      <c r="D341" s="3" t="str">
        <f t="shared" si="21"/>
        <v/>
      </c>
      <c r="E341" s="3" t="str">
        <f>IF(A341="","",(-PPMT(Refinance_Calculator!$C$13/12,Full_Report!A341,Refinance_Calculator!$C$16,Full_Report!$B$86,0,0)))</f>
        <v/>
      </c>
      <c r="F341" s="3" t="str">
        <f t="shared" si="22"/>
        <v/>
      </c>
      <c r="G341" s="5" t="str">
        <f t="shared" si="18"/>
        <v/>
      </c>
      <c r="H341" s="5" t="str">
        <f t="shared" si="19"/>
        <v/>
      </c>
      <c r="J341"/>
      <c r="K341"/>
      <c r="L341"/>
      <c r="M341"/>
      <c r="O341"/>
      <c r="P341"/>
      <c r="Q341"/>
    </row>
    <row r="342" spans="1:17" ht="14.4" x14ac:dyDescent="0.3">
      <c r="A342" s="1" t="str">
        <f>IF(OR(A341="",F341=0,A341=Refinance_Calculator!$C$16),"",A341+1)</f>
        <v/>
      </c>
      <c r="B342" s="3" t="str">
        <f t="shared" si="20"/>
        <v/>
      </c>
      <c r="C342" s="3" t="str">
        <f>IF(A342="","",(-PMT(Refinance_Calculator!$C$13/12,Refinance_Calculator!$C$16,Full_Report!$B$86,0,0)))</f>
        <v/>
      </c>
      <c r="D342" s="3" t="str">
        <f t="shared" si="21"/>
        <v/>
      </c>
      <c r="E342" s="3" t="str">
        <f>IF(A342="","",(-PPMT(Refinance_Calculator!$C$13/12,Full_Report!A342,Refinance_Calculator!$C$16,Full_Report!$B$86,0,0)))</f>
        <v/>
      </c>
      <c r="F342" s="3" t="str">
        <f t="shared" si="22"/>
        <v/>
      </c>
      <c r="G342" s="5" t="str">
        <f t="shared" si="18"/>
        <v/>
      </c>
      <c r="H342" s="5" t="str">
        <f t="shared" si="19"/>
        <v/>
      </c>
      <c r="J342"/>
      <c r="K342"/>
      <c r="L342"/>
      <c r="M342"/>
      <c r="O342"/>
      <c r="P342"/>
      <c r="Q342"/>
    </row>
    <row r="343" spans="1:17" ht="14.4" x14ac:dyDescent="0.3">
      <c r="A343" s="1" t="str">
        <f>IF(OR(A342="",F342=0,A342=Refinance_Calculator!$C$16),"",A342+1)</f>
        <v/>
      </c>
      <c r="B343" s="3" t="str">
        <f t="shared" si="20"/>
        <v/>
      </c>
      <c r="C343" s="3" t="str">
        <f>IF(A343="","",(-PMT(Refinance_Calculator!$C$13/12,Refinance_Calculator!$C$16,Full_Report!$B$86,0,0)))</f>
        <v/>
      </c>
      <c r="D343" s="3" t="str">
        <f t="shared" si="21"/>
        <v/>
      </c>
      <c r="E343" s="3" t="str">
        <f>IF(A343="","",(-PPMT(Refinance_Calculator!$C$13/12,Full_Report!A343,Refinance_Calculator!$C$16,Full_Report!$B$86,0,0)))</f>
        <v/>
      </c>
      <c r="F343" s="3" t="str">
        <f t="shared" si="22"/>
        <v/>
      </c>
      <c r="G343" s="5" t="str">
        <f t="shared" si="18"/>
        <v/>
      </c>
      <c r="H343" s="5" t="str">
        <f t="shared" si="19"/>
        <v/>
      </c>
      <c r="J343"/>
      <c r="K343"/>
      <c r="L343"/>
      <c r="M343"/>
      <c r="O343"/>
      <c r="P343"/>
      <c r="Q343"/>
    </row>
    <row r="344" spans="1:17" ht="14.4" x14ac:dyDescent="0.3">
      <c r="A344" s="1" t="str">
        <f>IF(OR(A343="",F343=0,A343=Refinance_Calculator!$C$16),"",A343+1)</f>
        <v/>
      </c>
      <c r="B344" s="3" t="str">
        <f t="shared" si="20"/>
        <v/>
      </c>
      <c r="C344" s="3" t="str">
        <f>IF(A344="","",(-PMT(Refinance_Calculator!$C$13/12,Refinance_Calculator!$C$16,Full_Report!$B$86,0,0)))</f>
        <v/>
      </c>
      <c r="D344" s="3" t="str">
        <f t="shared" si="21"/>
        <v/>
      </c>
      <c r="E344" s="3" t="str">
        <f>IF(A344="","",(-PPMT(Refinance_Calculator!$C$13/12,Full_Report!A344,Refinance_Calculator!$C$16,Full_Report!$B$86,0,0)))</f>
        <v/>
      </c>
      <c r="F344" s="3" t="str">
        <f t="shared" si="22"/>
        <v/>
      </c>
      <c r="G344" s="5" t="str">
        <f t="shared" ref="G344:G407" si="23">+IF(A344="","",(E344+G343))</f>
        <v/>
      </c>
      <c r="H344" s="5" t="str">
        <f t="shared" ref="H344:H407" si="24">+IF(B344="","",(D344+H343))</f>
        <v/>
      </c>
      <c r="J344"/>
      <c r="K344"/>
      <c r="L344"/>
      <c r="M344"/>
      <c r="O344"/>
      <c r="P344"/>
      <c r="Q344"/>
    </row>
    <row r="345" spans="1:17" ht="14.4" x14ac:dyDescent="0.3">
      <c r="A345" s="1" t="str">
        <f>IF(OR(A344="",F344=0,A344=Refinance_Calculator!$C$16),"",A344+1)</f>
        <v/>
      </c>
      <c r="B345" s="3" t="str">
        <f t="shared" si="20"/>
        <v/>
      </c>
      <c r="C345" s="3" t="str">
        <f>IF(A345="","",(-PMT(Refinance_Calculator!$C$13/12,Refinance_Calculator!$C$16,Full_Report!$B$86,0,0)))</f>
        <v/>
      </c>
      <c r="D345" s="3" t="str">
        <f t="shared" si="21"/>
        <v/>
      </c>
      <c r="E345" s="3" t="str">
        <f>IF(A345="","",(-PPMT(Refinance_Calculator!$C$13/12,Full_Report!A345,Refinance_Calculator!$C$16,Full_Report!$B$86,0,0)))</f>
        <v/>
      </c>
      <c r="F345" s="3" t="str">
        <f t="shared" si="22"/>
        <v/>
      </c>
      <c r="G345" s="5" t="str">
        <f t="shared" si="23"/>
        <v/>
      </c>
      <c r="H345" s="5" t="str">
        <f t="shared" si="24"/>
        <v/>
      </c>
      <c r="J345"/>
      <c r="K345"/>
      <c r="L345"/>
      <c r="M345"/>
      <c r="O345"/>
      <c r="P345"/>
      <c r="Q345"/>
    </row>
    <row r="346" spans="1:17" ht="14.4" x14ac:dyDescent="0.3">
      <c r="A346" s="1" t="str">
        <f>IF(OR(A345="",F345=0,A345=Refinance_Calculator!$C$16),"",A345+1)</f>
        <v/>
      </c>
      <c r="B346" s="3" t="str">
        <f t="shared" si="20"/>
        <v/>
      </c>
      <c r="C346" s="3" t="str">
        <f>IF(A346="","",(-PMT(Refinance_Calculator!$C$13/12,Refinance_Calculator!$C$16,Full_Report!$B$86,0,0)))</f>
        <v/>
      </c>
      <c r="D346" s="3" t="str">
        <f t="shared" si="21"/>
        <v/>
      </c>
      <c r="E346" s="3" t="str">
        <f>IF(A346="","",(-PPMT(Refinance_Calculator!$C$13/12,Full_Report!A346,Refinance_Calculator!$C$16,Full_Report!$B$86,0,0)))</f>
        <v/>
      </c>
      <c r="F346" s="3" t="str">
        <f t="shared" si="22"/>
        <v/>
      </c>
      <c r="G346" s="5" t="str">
        <f t="shared" si="23"/>
        <v/>
      </c>
      <c r="H346" s="5" t="str">
        <f t="shared" si="24"/>
        <v/>
      </c>
      <c r="J346"/>
      <c r="K346"/>
      <c r="L346"/>
      <c r="M346"/>
      <c r="O346"/>
      <c r="P346"/>
      <c r="Q346"/>
    </row>
    <row r="347" spans="1:17" ht="14.4" x14ac:dyDescent="0.3">
      <c r="A347" s="1" t="str">
        <f>IF(OR(A346="",F346=0,A346=Refinance_Calculator!$C$16),"",A346+1)</f>
        <v/>
      </c>
      <c r="B347" s="3" t="str">
        <f t="shared" si="20"/>
        <v/>
      </c>
      <c r="C347" s="3" t="str">
        <f>IF(A347="","",(-PMT(Refinance_Calculator!$C$13/12,Refinance_Calculator!$C$16,Full_Report!$B$86,0,0)))</f>
        <v/>
      </c>
      <c r="D347" s="3" t="str">
        <f t="shared" si="21"/>
        <v/>
      </c>
      <c r="E347" s="3" t="str">
        <f>IF(A347="","",(-PPMT(Refinance_Calculator!$C$13/12,Full_Report!A347,Refinance_Calculator!$C$16,Full_Report!$B$86,0,0)))</f>
        <v/>
      </c>
      <c r="F347" s="3" t="str">
        <f t="shared" si="22"/>
        <v/>
      </c>
      <c r="G347" s="5" t="str">
        <f t="shared" si="23"/>
        <v/>
      </c>
      <c r="H347" s="5" t="str">
        <f t="shared" si="24"/>
        <v/>
      </c>
      <c r="J347"/>
      <c r="K347"/>
      <c r="L347"/>
      <c r="M347"/>
      <c r="O347"/>
      <c r="P347"/>
      <c r="Q347"/>
    </row>
    <row r="348" spans="1:17" ht="14.4" x14ac:dyDescent="0.3">
      <c r="A348" s="1" t="str">
        <f>IF(OR(A347="",F347=0,A347=Refinance_Calculator!$C$16),"",A347+1)</f>
        <v/>
      </c>
      <c r="B348" s="3" t="str">
        <f t="shared" si="20"/>
        <v/>
      </c>
      <c r="C348" s="3" t="str">
        <f>IF(A348="","",(-PMT(Refinance_Calculator!$C$13/12,Refinance_Calculator!$C$16,Full_Report!$B$86,0,0)))</f>
        <v/>
      </c>
      <c r="D348" s="3" t="str">
        <f t="shared" si="21"/>
        <v/>
      </c>
      <c r="E348" s="3" t="str">
        <f>IF(A348="","",(-PPMT(Refinance_Calculator!$C$13/12,Full_Report!A348,Refinance_Calculator!$C$16,Full_Report!$B$86,0,0)))</f>
        <v/>
      </c>
      <c r="F348" s="3" t="str">
        <f t="shared" si="22"/>
        <v/>
      </c>
      <c r="G348" s="5" t="str">
        <f t="shared" si="23"/>
        <v/>
      </c>
      <c r="H348" s="5" t="str">
        <f t="shared" si="24"/>
        <v/>
      </c>
      <c r="J348"/>
      <c r="K348"/>
      <c r="L348"/>
      <c r="M348"/>
      <c r="O348"/>
      <c r="P348"/>
      <c r="Q348"/>
    </row>
    <row r="349" spans="1:17" ht="14.4" x14ac:dyDescent="0.3">
      <c r="A349" s="1" t="str">
        <f>IF(OR(A348="",F348=0,A348=Refinance_Calculator!$C$16),"",A348+1)</f>
        <v/>
      </c>
      <c r="B349" s="3" t="str">
        <f t="shared" si="20"/>
        <v/>
      </c>
      <c r="C349" s="3" t="str">
        <f>IF(A349="","",(-PMT(Refinance_Calculator!$C$13/12,Refinance_Calculator!$C$16,Full_Report!$B$86,0,0)))</f>
        <v/>
      </c>
      <c r="D349" s="3" t="str">
        <f t="shared" si="21"/>
        <v/>
      </c>
      <c r="E349" s="3" t="str">
        <f>IF(A349="","",(-PPMT(Refinance_Calculator!$C$13/12,Full_Report!A349,Refinance_Calculator!$C$16,Full_Report!$B$86,0,0)))</f>
        <v/>
      </c>
      <c r="F349" s="3" t="str">
        <f t="shared" si="22"/>
        <v/>
      </c>
      <c r="G349" s="5" t="str">
        <f t="shared" si="23"/>
        <v/>
      </c>
      <c r="H349" s="5" t="str">
        <f t="shared" si="24"/>
        <v/>
      </c>
      <c r="J349"/>
      <c r="K349"/>
      <c r="L349"/>
      <c r="M349"/>
      <c r="O349"/>
      <c r="P349"/>
      <c r="Q349"/>
    </row>
    <row r="350" spans="1:17" ht="14.4" x14ac:dyDescent="0.3">
      <c r="A350" s="1" t="str">
        <f>IF(OR(A349="",F349=0,A349=Refinance_Calculator!$C$16),"",A349+1)</f>
        <v/>
      </c>
      <c r="B350" s="3" t="str">
        <f t="shared" si="20"/>
        <v/>
      </c>
      <c r="C350" s="3" t="str">
        <f>IF(A350="","",(-PMT(Refinance_Calculator!$C$13/12,Refinance_Calculator!$C$16,Full_Report!$B$86,0,0)))</f>
        <v/>
      </c>
      <c r="D350" s="3" t="str">
        <f t="shared" si="21"/>
        <v/>
      </c>
      <c r="E350" s="3" t="str">
        <f>IF(A350="","",(-PPMT(Refinance_Calculator!$C$13/12,Full_Report!A350,Refinance_Calculator!$C$16,Full_Report!$B$86,0,0)))</f>
        <v/>
      </c>
      <c r="F350" s="3" t="str">
        <f t="shared" si="22"/>
        <v/>
      </c>
      <c r="G350" s="5" t="str">
        <f t="shared" si="23"/>
        <v/>
      </c>
      <c r="H350" s="5" t="str">
        <f t="shared" si="24"/>
        <v/>
      </c>
      <c r="J350"/>
      <c r="K350"/>
      <c r="L350"/>
      <c r="M350"/>
      <c r="O350"/>
      <c r="P350"/>
      <c r="Q350"/>
    </row>
    <row r="351" spans="1:17" ht="14.4" x14ac:dyDescent="0.3">
      <c r="A351" s="1" t="str">
        <f>IF(OR(A350="",F350=0,A350=Refinance_Calculator!$C$16),"",A350+1)</f>
        <v/>
      </c>
      <c r="B351" s="3" t="str">
        <f t="shared" si="20"/>
        <v/>
      </c>
      <c r="C351" s="3" t="str">
        <f>IF(A351="","",(-PMT(Refinance_Calculator!$C$13/12,Refinance_Calculator!$C$16,Full_Report!$B$86,0,0)))</f>
        <v/>
      </c>
      <c r="D351" s="3" t="str">
        <f t="shared" si="21"/>
        <v/>
      </c>
      <c r="E351" s="3" t="str">
        <f>IF(A351="","",(-PPMT(Refinance_Calculator!$C$13/12,Full_Report!A351,Refinance_Calculator!$C$16,Full_Report!$B$86,0,0)))</f>
        <v/>
      </c>
      <c r="F351" s="3" t="str">
        <f t="shared" si="22"/>
        <v/>
      </c>
      <c r="G351" s="5" t="str">
        <f t="shared" si="23"/>
        <v/>
      </c>
      <c r="H351" s="5" t="str">
        <f t="shared" si="24"/>
        <v/>
      </c>
      <c r="J351"/>
      <c r="K351"/>
      <c r="L351"/>
      <c r="M351"/>
      <c r="O351"/>
      <c r="P351"/>
      <c r="Q351"/>
    </row>
    <row r="352" spans="1:17" ht="14.4" x14ac:dyDescent="0.3">
      <c r="A352" s="1" t="str">
        <f>IF(OR(A351="",F351=0,A351=Refinance_Calculator!$C$16),"",A351+1)</f>
        <v/>
      </c>
      <c r="B352" s="3" t="str">
        <f t="shared" si="20"/>
        <v/>
      </c>
      <c r="C352" s="3" t="str">
        <f>IF(A352="","",(-PMT(Refinance_Calculator!$C$13/12,Refinance_Calculator!$C$16,Full_Report!$B$86,0,0)))</f>
        <v/>
      </c>
      <c r="D352" s="3" t="str">
        <f t="shared" si="21"/>
        <v/>
      </c>
      <c r="E352" s="3" t="str">
        <f>IF(A352="","",(-PPMT(Refinance_Calculator!$C$13/12,Full_Report!A352,Refinance_Calculator!$C$16,Full_Report!$B$86,0,0)))</f>
        <v/>
      </c>
      <c r="F352" s="3" t="str">
        <f t="shared" si="22"/>
        <v/>
      </c>
      <c r="G352" s="5" t="str">
        <f t="shared" si="23"/>
        <v/>
      </c>
      <c r="H352" s="5" t="str">
        <f t="shared" si="24"/>
        <v/>
      </c>
      <c r="J352"/>
      <c r="K352"/>
      <c r="L352"/>
      <c r="M352"/>
      <c r="O352"/>
      <c r="P352"/>
      <c r="Q352"/>
    </row>
    <row r="353" spans="1:17" ht="14.4" x14ac:dyDescent="0.3">
      <c r="A353" s="1" t="str">
        <f>IF(OR(A352="",F352=0,A352=Refinance_Calculator!$C$16),"",A352+1)</f>
        <v/>
      </c>
      <c r="B353" s="3" t="str">
        <f t="shared" si="20"/>
        <v/>
      </c>
      <c r="C353" s="3" t="str">
        <f>IF(A353="","",(-PMT(Refinance_Calculator!$C$13/12,Refinance_Calculator!$C$16,Full_Report!$B$86,0,0)))</f>
        <v/>
      </c>
      <c r="D353" s="3" t="str">
        <f t="shared" si="21"/>
        <v/>
      </c>
      <c r="E353" s="3" t="str">
        <f>IF(A353="","",(-PPMT(Refinance_Calculator!$C$13/12,Full_Report!A353,Refinance_Calculator!$C$16,Full_Report!$B$86,0,0)))</f>
        <v/>
      </c>
      <c r="F353" s="3" t="str">
        <f t="shared" si="22"/>
        <v/>
      </c>
      <c r="G353" s="5" t="str">
        <f t="shared" si="23"/>
        <v/>
      </c>
      <c r="H353" s="5" t="str">
        <f t="shared" si="24"/>
        <v/>
      </c>
      <c r="J353"/>
      <c r="K353"/>
      <c r="L353"/>
      <c r="M353"/>
      <c r="O353"/>
      <c r="P353"/>
      <c r="Q353"/>
    </row>
    <row r="354" spans="1:17" ht="14.4" x14ac:dyDescent="0.3">
      <c r="A354" s="1" t="str">
        <f>IF(OR(A353="",F353=0,A353=Refinance_Calculator!$C$16),"",A353+1)</f>
        <v/>
      </c>
      <c r="B354" s="3" t="str">
        <f t="shared" ref="B354:B417" si="25">IF(A354="","",(F353))</f>
        <v/>
      </c>
      <c r="C354" s="3" t="str">
        <f>IF(A354="","",(-PMT(Refinance_Calculator!$C$13/12,Refinance_Calculator!$C$16,Full_Report!$B$86,0,0)))</f>
        <v/>
      </c>
      <c r="D354" s="3" t="str">
        <f t="shared" ref="D354:D417" si="26">+IF(A354="","",(C354-E354))</f>
        <v/>
      </c>
      <c r="E354" s="3" t="str">
        <f>IF(A354="","",(-PPMT(Refinance_Calculator!$C$13/12,Full_Report!A354,Refinance_Calculator!$C$16,Full_Report!$B$86,0,0)))</f>
        <v/>
      </c>
      <c r="F354" s="3" t="str">
        <f t="shared" ref="F354:F417" si="27">IF(A354="","",(B354-E354))</f>
        <v/>
      </c>
      <c r="G354" s="5" t="str">
        <f t="shared" si="23"/>
        <v/>
      </c>
      <c r="H354" s="5" t="str">
        <f t="shared" si="24"/>
        <v/>
      </c>
      <c r="J354"/>
      <c r="K354"/>
      <c r="L354"/>
      <c r="M354"/>
      <c r="O354"/>
      <c r="P354"/>
      <c r="Q354"/>
    </row>
    <row r="355" spans="1:17" ht="14.4" x14ac:dyDescent="0.3">
      <c r="A355" s="1" t="str">
        <f>IF(OR(A354="",F354=0,A354=Refinance_Calculator!$C$16),"",A354+1)</f>
        <v/>
      </c>
      <c r="B355" s="3" t="str">
        <f t="shared" si="25"/>
        <v/>
      </c>
      <c r="C355" s="3" t="str">
        <f>IF(A355="","",(-PMT(Refinance_Calculator!$C$13/12,Refinance_Calculator!$C$16,Full_Report!$B$86,0,0)))</f>
        <v/>
      </c>
      <c r="D355" s="3" t="str">
        <f t="shared" si="26"/>
        <v/>
      </c>
      <c r="E355" s="3" t="str">
        <f>IF(A355="","",(-PPMT(Refinance_Calculator!$C$13/12,Full_Report!A355,Refinance_Calculator!$C$16,Full_Report!$B$86,0,0)))</f>
        <v/>
      </c>
      <c r="F355" s="3" t="str">
        <f t="shared" si="27"/>
        <v/>
      </c>
      <c r="G355" s="5" t="str">
        <f t="shared" si="23"/>
        <v/>
      </c>
      <c r="H355" s="5" t="str">
        <f t="shared" si="24"/>
        <v/>
      </c>
      <c r="J355"/>
      <c r="K355"/>
      <c r="L355"/>
      <c r="M355"/>
      <c r="O355"/>
      <c r="P355"/>
      <c r="Q355"/>
    </row>
    <row r="356" spans="1:17" ht="14.4" x14ac:dyDescent="0.3">
      <c r="A356" s="1" t="str">
        <f>IF(OR(A355="",F355=0,A355=Refinance_Calculator!$C$16),"",A355+1)</f>
        <v/>
      </c>
      <c r="B356" s="3" t="str">
        <f t="shared" si="25"/>
        <v/>
      </c>
      <c r="C356" s="3" t="str">
        <f>IF(A356="","",(-PMT(Refinance_Calculator!$C$13/12,Refinance_Calculator!$C$16,Full_Report!$B$86,0,0)))</f>
        <v/>
      </c>
      <c r="D356" s="3" t="str">
        <f t="shared" si="26"/>
        <v/>
      </c>
      <c r="E356" s="3" t="str">
        <f>IF(A356="","",(-PPMT(Refinance_Calculator!$C$13/12,Full_Report!A356,Refinance_Calculator!$C$16,Full_Report!$B$86,0,0)))</f>
        <v/>
      </c>
      <c r="F356" s="3" t="str">
        <f t="shared" si="27"/>
        <v/>
      </c>
      <c r="G356" s="5" t="str">
        <f t="shared" si="23"/>
        <v/>
      </c>
      <c r="H356" s="5" t="str">
        <f t="shared" si="24"/>
        <v/>
      </c>
      <c r="J356"/>
      <c r="K356"/>
      <c r="L356"/>
      <c r="M356"/>
      <c r="O356"/>
      <c r="P356"/>
      <c r="Q356"/>
    </row>
    <row r="357" spans="1:17" ht="14.4" x14ac:dyDescent="0.3">
      <c r="A357" s="1" t="str">
        <f>IF(OR(A356="",F356=0,A356=Refinance_Calculator!$C$16),"",A356+1)</f>
        <v/>
      </c>
      <c r="B357" s="3" t="str">
        <f t="shared" si="25"/>
        <v/>
      </c>
      <c r="C357" s="3" t="str">
        <f>IF(A357="","",(-PMT(Refinance_Calculator!$C$13/12,Refinance_Calculator!$C$16,Full_Report!$B$86,0,0)))</f>
        <v/>
      </c>
      <c r="D357" s="3" t="str">
        <f t="shared" si="26"/>
        <v/>
      </c>
      <c r="E357" s="3" t="str">
        <f>IF(A357="","",(-PPMT(Refinance_Calculator!$C$13/12,Full_Report!A357,Refinance_Calculator!$C$16,Full_Report!$B$86,0,0)))</f>
        <v/>
      </c>
      <c r="F357" s="3" t="str">
        <f t="shared" si="27"/>
        <v/>
      </c>
      <c r="G357" s="5" t="str">
        <f t="shared" si="23"/>
        <v/>
      </c>
      <c r="H357" s="5" t="str">
        <f t="shared" si="24"/>
        <v/>
      </c>
      <c r="J357"/>
      <c r="K357"/>
      <c r="L357"/>
      <c r="M357"/>
      <c r="O357"/>
      <c r="P357"/>
      <c r="Q357"/>
    </row>
    <row r="358" spans="1:17" ht="14.4" x14ac:dyDescent="0.3">
      <c r="A358" s="1" t="str">
        <f>IF(OR(A357="",F357=0,A357=Refinance_Calculator!$C$16),"",A357+1)</f>
        <v/>
      </c>
      <c r="B358" s="3" t="str">
        <f t="shared" si="25"/>
        <v/>
      </c>
      <c r="C358" s="3" t="str">
        <f>IF(A358="","",(-PMT(Refinance_Calculator!$C$13/12,Refinance_Calculator!$C$16,Full_Report!$B$86,0,0)))</f>
        <v/>
      </c>
      <c r="D358" s="3" t="str">
        <f t="shared" si="26"/>
        <v/>
      </c>
      <c r="E358" s="3" t="str">
        <f>IF(A358="","",(-PPMT(Refinance_Calculator!$C$13/12,Full_Report!A358,Refinance_Calculator!$C$16,Full_Report!$B$86,0,0)))</f>
        <v/>
      </c>
      <c r="F358" s="3" t="str">
        <f t="shared" si="27"/>
        <v/>
      </c>
      <c r="G358" s="5" t="str">
        <f t="shared" si="23"/>
        <v/>
      </c>
      <c r="H358" s="5" t="str">
        <f t="shared" si="24"/>
        <v/>
      </c>
      <c r="J358"/>
      <c r="K358"/>
      <c r="L358"/>
      <c r="M358"/>
      <c r="O358"/>
      <c r="P358"/>
      <c r="Q358"/>
    </row>
    <row r="359" spans="1:17" ht="14.4" x14ac:dyDescent="0.3">
      <c r="A359" s="1" t="str">
        <f>IF(OR(A358="",F358=0,A358=Refinance_Calculator!$C$16),"",A358+1)</f>
        <v/>
      </c>
      <c r="B359" s="3" t="str">
        <f t="shared" si="25"/>
        <v/>
      </c>
      <c r="C359" s="3" t="str">
        <f>IF(A359="","",(-PMT(Refinance_Calculator!$C$13/12,Refinance_Calculator!$C$16,Full_Report!$B$86,0,0)))</f>
        <v/>
      </c>
      <c r="D359" s="3" t="str">
        <f t="shared" si="26"/>
        <v/>
      </c>
      <c r="E359" s="3" t="str">
        <f>IF(A359="","",(-PPMT(Refinance_Calculator!$C$13/12,Full_Report!A359,Refinance_Calculator!$C$16,Full_Report!$B$86,0,0)))</f>
        <v/>
      </c>
      <c r="F359" s="3" t="str">
        <f t="shared" si="27"/>
        <v/>
      </c>
      <c r="G359" s="5" t="str">
        <f t="shared" si="23"/>
        <v/>
      </c>
      <c r="H359" s="5" t="str">
        <f t="shared" si="24"/>
        <v/>
      </c>
      <c r="J359"/>
      <c r="K359"/>
      <c r="L359"/>
      <c r="M359"/>
      <c r="O359"/>
      <c r="P359"/>
      <c r="Q359"/>
    </row>
    <row r="360" spans="1:17" ht="14.4" x14ac:dyDescent="0.3">
      <c r="A360" s="1" t="str">
        <f>IF(OR(A359="",F359=0,A359=Refinance_Calculator!$C$16),"",A359+1)</f>
        <v/>
      </c>
      <c r="B360" s="3" t="str">
        <f t="shared" si="25"/>
        <v/>
      </c>
      <c r="C360" s="3" t="str">
        <f>IF(A360="","",(-PMT(Refinance_Calculator!$C$13/12,Refinance_Calculator!$C$16,Full_Report!$B$86,0,0)))</f>
        <v/>
      </c>
      <c r="D360" s="3" t="str">
        <f t="shared" si="26"/>
        <v/>
      </c>
      <c r="E360" s="3" t="str">
        <f>IF(A360="","",(-PPMT(Refinance_Calculator!$C$13/12,Full_Report!A360,Refinance_Calculator!$C$16,Full_Report!$B$86,0,0)))</f>
        <v/>
      </c>
      <c r="F360" s="3" t="str">
        <f t="shared" si="27"/>
        <v/>
      </c>
      <c r="G360" s="5" t="str">
        <f t="shared" si="23"/>
        <v/>
      </c>
      <c r="H360" s="5" t="str">
        <f t="shared" si="24"/>
        <v/>
      </c>
      <c r="J360"/>
      <c r="K360"/>
      <c r="L360"/>
      <c r="M360"/>
      <c r="O360"/>
      <c r="P360"/>
      <c r="Q360"/>
    </row>
    <row r="361" spans="1:17" ht="14.4" x14ac:dyDescent="0.3">
      <c r="A361" s="1" t="str">
        <f>IF(OR(A360="",F360=0,A360=Refinance_Calculator!$C$16),"",A360+1)</f>
        <v/>
      </c>
      <c r="B361" s="3" t="str">
        <f t="shared" si="25"/>
        <v/>
      </c>
      <c r="C361" s="3" t="str">
        <f>IF(A361="","",(-PMT(Refinance_Calculator!$C$13/12,Refinance_Calculator!$C$16,Full_Report!$B$86,0,0)))</f>
        <v/>
      </c>
      <c r="D361" s="3" t="str">
        <f t="shared" si="26"/>
        <v/>
      </c>
      <c r="E361" s="3" t="str">
        <f>IF(A361="","",(-PPMT(Refinance_Calculator!$C$13/12,Full_Report!A361,Refinance_Calculator!$C$16,Full_Report!$B$86,0,0)))</f>
        <v/>
      </c>
      <c r="F361" s="3" t="str">
        <f t="shared" si="27"/>
        <v/>
      </c>
      <c r="G361" s="5" t="str">
        <f t="shared" si="23"/>
        <v/>
      </c>
      <c r="H361" s="5" t="str">
        <f t="shared" si="24"/>
        <v/>
      </c>
      <c r="J361"/>
      <c r="K361"/>
      <c r="L361"/>
      <c r="M361"/>
      <c r="O361"/>
      <c r="P361"/>
      <c r="Q361"/>
    </row>
    <row r="362" spans="1:17" ht="14.4" x14ac:dyDescent="0.3">
      <c r="A362" s="1" t="str">
        <f>IF(OR(A361="",F361=0,A361=Refinance_Calculator!$C$16),"",A361+1)</f>
        <v/>
      </c>
      <c r="B362" s="3" t="str">
        <f t="shared" si="25"/>
        <v/>
      </c>
      <c r="C362" s="3" t="str">
        <f>IF(A362="","",(-PMT(Refinance_Calculator!$C$13/12,Refinance_Calculator!$C$16,Full_Report!$B$86,0,0)))</f>
        <v/>
      </c>
      <c r="D362" s="3" t="str">
        <f t="shared" si="26"/>
        <v/>
      </c>
      <c r="E362" s="3" t="str">
        <f>IF(A362="","",(-PPMT(Refinance_Calculator!$C$13/12,Full_Report!A362,Refinance_Calculator!$C$16,Full_Report!$B$86,0,0)))</f>
        <v/>
      </c>
      <c r="F362" s="3" t="str">
        <f t="shared" si="27"/>
        <v/>
      </c>
      <c r="G362" s="5" t="str">
        <f t="shared" si="23"/>
        <v/>
      </c>
      <c r="H362" s="5" t="str">
        <f t="shared" si="24"/>
        <v/>
      </c>
      <c r="J362"/>
      <c r="K362"/>
      <c r="L362"/>
      <c r="M362"/>
      <c r="O362"/>
      <c r="P362"/>
      <c r="Q362"/>
    </row>
    <row r="363" spans="1:17" ht="14.4" x14ac:dyDescent="0.3">
      <c r="A363" s="1" t="str">
        <f>IF(OR(A362="",F362=0,A362=Refinance_Calculator!$C$16),"",A362+1)</f>
        <v/>
      </c>
      <c r="B363" s="3" t="str">
        <f t="shared" si="25"/>
        <v/>
      </c>
      <c r="C363" s="3" t="str">
        <f>IF(A363="","",(-PMT(Refinance_Calculator!$C$13/12,Refinance_Calculator!$C$16,Full_Report!$B$86,0,0)))</f>
        <v/>
      </c>
      <c r="D363" s="3" t="str">
        <f t="shared" si="26"/>
        <v/>
      </c>
      <c r="E363" s="3" t="str">
        <f>IF(A363="","",(-PPMT(Refinance_Calculator!$C$13/12,Full_Report!A363,Refinance_Calculator!$C$16,Full_Report!$B$86,0,0)))</f>
        <v/>
      </c>
      <c r="F363" s="3" t="str">
        <f t="shared" si="27"/>
        <v/>
      </c>
      <c r="G363" s="5" t="str">
        <f t="shared" si="23"/>
        <v/>
      </c>
      <c r="H363" s="5" t="str">
        <f t="shared" si="24"/>
        <v/>
      </c>
      <c r="J363"/>
      <c r="K363"/>
      <c r="L363"/>
      <c r="M363"/>
      <c r="O363"/>
      <c r="P363"/>
      <c r="Q363"/>
    </row>
    <row r="364" spans="1:17" ht="14.4" x14ac:dyDescent="0.3">
      <c r="A364" s="1" t="str">
        <f>IF(OR(A363="",F363=0,A363=Refinance_Calculator!$C$16),"",A363+1)</f>
        <v/>
      </c>
      <c r="B364" s="3" t="str">
        <f t="shared" si="25"/>
        <v/>
      </c>
      <c r="C364" s="3" t="str">
        <f>IF(A364="","",(-PMT(Refinance_Calculator!$C$13/12,Refinance_Calculator!$C$16,Full_Report!$B$86,0,0)))</f>
        <v/>
      </c>
      <c r="D364" s="3" t="str">
        <f t="shared" si="26"/>
        <v/>
      </c>
      <c r="E364" s="3" t="str">
        <f>IF(A364="","",(-PPMT(Refinance_Calculator!$C$13/12,Full_Report!A364,Refinance_Calculator!$C$16,Full_Report!$B$86,0,0)))</f>
        <v/>
      </c>
      <c r="F364" s="3" t="str">
        <f t="shared" si="27"/>
        <v/>
      </c>
      <c r="G364" s="5" t="str">
        <f t="shared" si="23"/>
        <v/>
      </c>
      <c r="H364" s="5" t="str">
        <f t="shared" si="24"/>
        <v/>
      </c>
      <c r="J364"/>
      <c r="K364"/>
      <c r="L364"/>
      <c r="M364"/>
      <c r="O364"/>
      <c r="P364"/>
      <c r="Q364"/>
    </row>
    <row r="365" spans="1:17" ht="14.4" x14ac:dyDescent="0.3">
      <c r="A365" s="1" t="str">
        <f>IF(OR(A364="",F364=0,A364=Refinance_Calculator!$C$16),"",A364+1)</f>
        <v/>
      </c>
      <c r="B365" s="3" t="str">
        <f t="shared" si="25"/>
        <v/>
      </c>
      <c r="C365" s="3" t="str">
        <f>IF(A365="","",(-PMT(Refinance_Calculator!$C$13/12,Refinance_Calculator!$C$16,Full_Report!$B$86,0,0)))</f>
        <v/>
      </c>
      <c r="D365" s="3" t="str">
        <f t="shared" si="26"/>
        <v/>
      </c>
      <c r="E365" s="3" t="str">
        <f>IF(A365="","",(-PPMT(Refinance_Calculator!$C$13/12,Full_Report!A365,Refinance_Calculator!$C$16,Full_Report!$B$86,0,0)))</f>
        <v/>
      </c>
      <c r="F365" s="3" t="str">
        <f t="shared" si="27"/>
        <v/>
      </c>
      <c r="G365" s="5" t="str">
        <f t="shared" si="23"/>
        <v/>
      </c>
      <c r="H365" s="5" t="str">
        <f t="shared" si="24"/>
        <v/>
      </c>
      <c r="J365"/>
      <c r="K365"/>
      <c r="L365"/>
      <c r="M365"/>
      <c r="O365"/>
      <c r="P365"/>
      <c r="Q365"/>
    </row>
    <row r="366" spans="1:17" ht="14.4" x14ac:dyDescent="0.3">
      <c r="A366" s="1" t="str">
        <f>IF(OR(A365="",F365=0,A365=Refinance_Calculator!$C$16),"",A365+1)</f>
        <v/>
      </c>
      <c r="B366" s="3" t="str">
        <f t="shared" si="25"/>
        <v/>
      </c>
      <c r="C366" s="3" t="str">
        <f>IF(A366="","",(-PMT(Refinance_Calculator!$C$13/12,Refinance_Calculator!$C$16,Full_Report!$B$86,0,0)))</f>
        <v/>
      </c>
      <c r="D366" s="3" t="str">
        <f t="shared" si="26"/>
        <v/>
      </c>
      <c r="E366" s="3" t="str">
        <f>IF(A366="","",(-PPMT(Refinance_Calculator!$C$13/12,Full_Report!A366,Refinance_Calculator!$C$16,Full_Report!$B$86,0,0)))</f>
        <v/>
      </c>
      <c r="F366" s="3" t="str">
        <f t="shared" si="27"/>
        <v/>
      </c>
      <c r="G366" s="5" t="str">
        <f t="shared" si="23"/>
        <v/>
      </c>
      <c r="H366" s="5" t="str">
        <f t="shared" si="24"/>
        <v/>
      </c>
      <c r="J366"/>
      <c r="K366"/>
      <c r="L366"/>
      <c r="M366"/>
      <c r="O366"/>
      <c r="P366"/>
      <c r="Q366"/>
    </row>
    <row r="367" spans="1:17" ht="14.4" x14ac:dyDescent="0.3">
      <c r="A367" s="1" t="str">
        <f>IF(OR(A366="",F366=0,A366=Refinance_Calculator!$C$16),"",A366+1)</f>
        <v/>
      </c>
      <c r="B367" s="3" t="str">
        <f t="shared" si="25"/>
        <v/>
      </c>
      <c r="C367" s="3" t="str">
        <f>IF(A367="","",(-PMT(Refinance_Calculator!$C$13/12,Refinance_Calculator!$C$16,Full_Report!$B$86,0,0)))</f>
        <v/>
      </c>
      <c r="D367" s="3" t="str">
        <f t="shared" si="26"/>
        <v/>
      </c>
      <c r="E367" s="3" t="str">
        <f>IF(A367="","",(-PPMT(Refinance_Calculator!$C$13/12,Full_Report!A367,Refinance_Calculator!$C$16,Full_Report!$B$86,0,0)))</f>
        <v/>
      </c>
      <c r="F367" s="3" t="str">
        <f t="shared" si="27"/>
        <v/>
      </c>
      <c r="G367" s="5" t="str">
        <f t="shared" si="23"/>
        <v/>
      </c>
      <c r="H367" s="5" t="str">
        <f t="shared" si="24"/>
        <v/>
      </c>
      <c r="J367"/>
      <c r="K367"/>
      <c r="L367"/>
      <c r="M367"/>
      <c r="O367"/>
      <c r="P367"/>
      <c r="Q367"/>
    </row>
    <row r="368" spans="1:17" ht="14.4" x14ac:dyDescent="0.3">
      <c r="A368" s="1" t="str">
        <f>IF(OR(A367="",F367=0,A367=Refinance_Calculator!$C$16),"",A367+1)</f>
        <v/>
      </c>
      <c r="B368" s="3" t="str">
        <f t="shared" si="25"/>
        <v/>
      </c>
      <c r="C368" s="3" t="str">
        <f>IF(A368="","",(-PMT(Refinance_Calculator!$C$13/12,Refinance_Calculator!$C$16,Full_Report!$B$86,0,0)))</f>
        <v/>
      </c>
      <c r="D368" s="3" t="str">
        <f t="shared" si="26"/>
        <v/>
      </c>
      <c r="E368" s="3" t="str">
        <f>IF(A368="","",(-PPMT(Refinance_Calculator!$C$13/12,Full_Report!A368,Refinance_Calculator!$C$16,Full_Report!$B$86,0,0)))</f>
        <v/>
      </c>
      <c r="F368" s="3" t="str">
        <f t="shared" si="27"/>
        <v/>
      </c>
      <c r="G368" s="5" t="str">
        <f t="shared" si="23"/>
        <v/>
      </c>
      <c r="H368" s="5" t="str">
        <f t="shared" si="24"/>
        <v/>
      </c>
      <c r="J368"/>
      <c r="K368"/>
      <c r="L368"/>
      <c r="M368"/>
      <c r="O368"/>
      <c r="P368"/>
      <c r="Q368"/>
    </row>
    <row r="369" spans="1:17" ht="14.4" x14ac:dyDescent="0.3">
      <c r="A369" s="1" t="str">
        <f>IF(OR(A368="",F368=0,A368=Refinance_Calculator!$C$16),"",A368+1)</f>
        <v/>
      </c>
      <c r="B369" s="3" t="str">
        <f t="shared" si="25"/>
        <v/>
      </c>
      <c r="C369" s="3" t="str">
        <f>IF(A369="","",(-PMT(Refinance_Calculator!$C$13/12,Refinance_Calculator!$C$16,Full_Report!$B$86,0,0)))</f>
        <v/>
      </c>
      <c r="D369" s="3" t="str">
        <f t="shared" si="26"/>
        <v/>
      </c>
      <c r="E369" s="3" t="str">
        <f>IF(A369="","",(-PPMT(Refinance_Calculator!$C$13/12,Full_Report!A369,Refinance_Calculator!$C$16,Full_Report!$B$86,0,0)))</f>
        <v/>
      </c>
      <c r="F369" s="3" t="str">
        <f t="shared" si="27"/>
        <v/>
      </c>
      <c r="G369" s="5" t="str">
        <f t="shared" si="23"/>
        <v/>
      </c>
      <c r="H369" s="5" t="str">
        <f t="shared" si="24"/>
        <v/>
      </c>
      <c r="J369"/>
      <c r="K369"/>
      <c r="L369"/>
      <c r="M369"/>
      <c r="O369"/>
      <c r="P369"/>
      <c r="Q369"/>
    </row>
    <row r="370" spans="1:17" ht="14.4" x14ac:dyDescent="0.3">
      <c r="A370" s="1" t="str">
        <f>IF(OR(A369="",F369=0,A369=Refinance_Calculator!$C$16),"",A369+1)</f>
        <v/>
      </c>
      <c r="B370" s="3" t="str">
        <f t="shared" si="25"/>
        <v/>
      </c>
      <c r="C370" s="3" t="str">
        <f>IF(A370="","",(-PMT(Refinance_Calculator!$C$13/12,Refinance_Calculator!$C$16,Full_Report!$B$86,0,0)))</f>
        <v/>
      </c>
      <c r="D370" s="3" t="str">
        <f t="shared" si="26"/>
        <v/>
      </c>
      <c r="E370" s="3" t="str">
        <f>IF(A370="","",(-PPMT(Refinance_Calculator!$C$13/12,Full_Report!A370,Refinance_Calculator!$C$16,Full_Report!$B$86,0,0)))</f>
        <v/>
      </c>
      <c r="F370" s="3" t="str">
        <f t="shared" si="27"/>
        <v/>
      </c>
      <c r="G370" s="5" t="str">
        <f t="shared" si="23"/>
        <v/>
      </c>
      <c r="H370" s="5" t="str">
        <f t="shared" si="24"/>
        <v/>
      </c>
      <c r="J370"/>
      <c r="K370"/>
      <c r="L370"/>
      <c r="M370"/>
      <c r="O370"/>
      <c r="P370"/>
      <c r="Q370"/>
    </row>
    <row r="371" spans="1:17" ht="14.4" x14ac:dyDescent="0.3">
      <c r="A371" s="1" t="str">
        <f>IF(OR(A370="",F370=0,A370=Refinance_Calculator!$C$16),"",A370+1)</f>
        <v/>
      </c>
      <c r="B371" s="3" t="str">
        <f t="shared" si="25"/>
        <v/>
      </c>
      <c r="C371" s="3" t="str">
        <f>IF(A371="","",(-PMT(Refinance_Calculator!$C$13/12,Refinance_Calculator!$C$16,Full_Report!$B$86,0,0)))</f>
        <v/>
      </c>
      <c r="D371" s="3" t="str">
        <f t="shared" si="26"/>
        <v/>
      </c>
      <c r="E371" s="3" t="str">
        <f>IF(A371="","",(-PPMT(Refinance_Calculator!$C$13/12,Full_Report!A371,Refinance_Calculator!$C$16,Full_Report!$B$86,0,0)))</f>
        <v/>
      </c>
      <c r="F371" s="3" t="str">
        <f t="shared" si="27"/>
        <v/>
      </c>
      <c r="G371" s="5" t="str">
        <f t="shared" si="23"/>
        <v/>
      </c>
      <c r="H371" s="5" t="str">
        <f t="shared" si="24"/>
        <v/>
      </c>
      <c r="J371"/>
      <c r="K371"/>
      <c r="L371"/>
      <c r="M371"/>
      <c r="O371"/>
      <c r="P371"/>
      <c r="Q371"/>
    </row>
    <row r="372" spans="1:17" ht="14.4" x14ac:dyDescent="0.3">
      <c r="A372" s="1" t="str">
        <f>IF(OR(A371="",F371=0,A371=Refinance_Calculator!$C$16),"",A371+1)</f>
        <v/>
      </c>
      <c r="B372" s="3" t="str">
        <f t="shared" si="25"/>
        <v/>
      </c>
      <c r="C372" s="3" t="str">
        <f>IF(A372="","",(-PMT(Refinance_Calculator!$C$13/12,Refinance_Calculator!$C$16,Full_Report!$B$86,0,0)))</f>
        <v/>
      </c>
      <c r="D372" s="3" t="str">
        <f t="shared" si="26"/>
        <v/>
      </c>
      <c r="E372" s="3" t="str">
        <f>IF(A372="","",(-PPMT(Refinance_Calculator!$C$13/12,Full_Report!A372,Refinance_Calculator!$C$16,Full_Report!$B$86,0,0)))</f>
        <v/>
      </c>
      <c r="F372" s="3" t="str">
        <f t="shared" si="27"/>
        <v/>
      </c>
      <c r="G372" s="5" t="str">
        <f t="shared" si="23"/>
        <v/>
      </c>
      <c r="H372" s="5" t="str">
        <f t="shared" si="24"/>
        <v/>
      </c>
      <c r="J372"/>
      <c r="K372"/>
      <c r="L372"/>
      <c r="M372"/>
      <c r="O372"/>
      <c r="P372"/>
      <c r="Q372"/>
    </row>
    <row r="373" spans="1:17" ht="14.4" x14ac:dyDescent="0.3">
      <c r="A373" s="1" t="str">
        <f>IF(OR(A372="",F372=0,A372=Refinance_Calculator!$C$16),"",A372+1)</f>
        <v/>
      </c>
      <c r="B373" s="3" t="str">
        <f t="shared" si="25"/>
        <v/>
      </c>
      <c r="C373" s="3" t="str">
        <f>IF(A373="","",(-PMT(Refinance_Calculator!$C$13/12,Refinance_Calculator!$C$16,Full_Report!$B$86,0,0)))</f>
        <v/>
      </c>
      <c r="D373" s="3" t="str">
        <f t="shared" si="26"/>
        <v/>
      </c>
      <c r="E373" s="3" t="str">
        <f>IF(A373="","",(-PPMT(Refinance_Calculator!$C$13/12,Full_Report!A373,Refinance_Calculator!$C$16,Full_Report!$B$86,0,0)))</f>
        <v/>
      </c>
      <c r="F373" s="3" t="str">
        <f t="shared" si="27"/>
        <v/>
      </c>
      <c r="G373" s="5" t="str">
        <f t="shared" si="23"/>
        <v/>
      </c>
      <c r="H373" s="5" t="str">
        <f t="shared" si="24"/>
        <v/>
      </c>
      <c r="J373"/>
      <c r="K373"/>
      <c r="L373"/>
      <c r="M373"/>
      <c r="O373"/>
      <c r="P373"/>
      <c r="Q373"/>
    </row>
    <row r="374" spans="1:17" ht="14.4" x14ac:dyDescent="0.3">
      <c r="A374" s="1" t="str">
        <f>IF(OR(A373="",F373=0,A373=Refinance_Calculator!$C$16),"",A373+1)</f>
        <v/>
      </c>
      <c r="B374" s="3" t="str">
        <f t="shared" si="25"/>
        <v/>
      </c>
      <c r="C374" s="3" t="str">
        <f>IF(A374="","",(-PMT(Refinance_Calculator!$C$13/12,Refinance_Calculator!$C$16,Full_Report!$B$86,0,0)))</f>
        <v/>
      </c>
      <c r="D374" s="3" t="str">
        <f t="shared" si="26"/>
        <v/>
      </c>
      <c r="E374" s="3" t="str">
        <f>IF(A374="","",(-PPMT(Refinance_Calculator!$C$13/12,Full_Report!A374,Refinance_Calculator!$C$16,Full_Report!$B$86,0,0)))</f>
        <v/>
      </c>
      <c r="F374" s="3" t="str">
        <f t="shared" si="27"/>
        <v/>
      </c>
      <c r="G374" s="5" t="str">
        <f t="shared" si="23"/>
        <v/>
      </c>
      <c r="H374" s="5" t="str">
        <f t="shared" si="24"/>
        <v/>
      </c>
      <c r="J374"/>
      <c r="K374"/>
      <c r="L374"/>
      <c r="M374"/>
      <c r="O374"/>
      <c r="P374"/>
      <c r="Q374"/>
    </row>
    <row r="375" spans="1:17" ht="14.4" x14ac:dyDescent="0.3">
      <c r="A375" s="1" t="str">
        <f>IF(OR(A374="",F374=0,A374=Refinance_Calculator!$C$16),"",A374+1)</f>
        <v/>
      </c>
      <c r="B375" s="3" t="str">
        <f t="shared" si="25"/>
        <v/>
      </c>
      <c r="C375" s="3" t="str">
        <f>IF(A375="","",(-PMT(Refinance_Calculator!$C$13/12,Refinance_Calculator!$C$16,Full_Report!$B$86,0,0)))</f>
        <v/>
      </c>
      <c r="D375" s="3" t="str">
        <f t="shared" si="26"/>
        <v/>
      </c>
      <c r="E375" s="3" t="str">
        <f>IF(A375="","",(-PPMT(Refinance_Calculator!$C$13/12,Full_Report!A375,Refinance_Calculator!$C$16,Full_Report!$B$86,0,0)))</f>
        <v/>
      </c>
      <c r="F375" s="3" t="str">
        <f t="shared" si="27"/>
        <v/>
      </c>
      <c r="G375" s="5" t="str">
        <f t="shared" si="23"/>
        <v/>
      </c>
      <c r="H375" s="5" t="str">
        <f t="shared" si="24"/>
        <v/>
      </c>
      <c r="J375"/>
      <c r="K375"/>
      <c r="L375"/>
      <c r="M375"/>
      <c r="O375"/>
      <c r="P375"/>
      <c r="Q375"/>
    </row>
    <row r="376" spans="1:17" ht="14.4" x14ac:dyDescent="0.3">
      <c r="A376" s="1" t="str">
        <f>IF(OR(A375="",F375=0,A375=Refinance_Calculator!$C$16),"",A375+1)</f>
        <v/>
      </c>
      <c r="B376" s="3" t="str">
        <f t="shared" si="25"/>
        <v/>
      </c>
      <c r="C376" s="3" t="str">
        <f>IF(A376="","",(-PMT(Refinance_Calculator!$C$13/12,Refinance_Calculator!$C$16,Full_Report!$B$86,0,0)))</f>
        <v/>
      </c>
      <c r="D376" s="3" t="str">
        <f t="shared" si="26"/>
        <v/>
      </c>
      <c r="E376" s="3" t="str">
        <f>IF(A376="","",(-PPMT(Refinance_Calculator!$C$13/12,Full_Report!A376,Refinance_Calculator!$C$16,Full_Report!$B$86,0,0)))</f>
        <v/>
      </c>
      <c r="F376" s="3" t="str">
        <f t="shared" si="27"/>
        <v/>
      </c>
      <c r="G376" s="5" t="str">
        <f t="shared" si="23"/>
        <v/>
      </c>
      <c r="H376" s="5" t="str">
        <f t="shared" si="24"/>
        <v/>
      </c>
      <c r="J376"/>
      <c r="K376"/>
      <c r="L376"/>
      <c r="M376"/>
      <c r="O376"/>
      <c r="P376"/>
      <c r="Q376"/>
    </row>
    <row r="377" spans="1:17" ht="14.4" x14ac:dyDescent="0.3">
      <c r="A377" s="1" t="str">
        <f>IF(OR(A376="",F376=0,A376=Refinance_Calculator!$C$16),"",A376+1)</f>
        <v/>
      </c>
      <c r="B377" s="3" t="str">
        <f t="shared" si="25"/>
        <v/>
      </c>
      <c r="C377" s="3" t="str">
        <f>IF(A377="","",(-PMT(Refinance_Calculator!$C$13/12,Refinance_Calculator!$C$16,Full_Report!$B$86,0,0)))</f>
        <v/>
      </c>
      <c r="D377" s="3" t="str">
        <f t="shared" si="26"/>
        <v/>
      </c>
      <c r="E377" s="3" t="str">
        <f>IF(A377="","",(-PPMT(Refinance_Calculator!$C$13/12,Full_Report!A377,Refinance_Calculator!$C$16,Full_Report!$B$86,0,0)))</f>
        <v/>
      </c>
      <c r="F377" s="3" t="str">
        <f t="shared" si="27"/>
        <v/>
      </c>
      <c r="G377" s="5" t="str">
        <f t="shared" si="23"/>
        <v/>
      </c>
      <c r="H377" s="5" t="str">
        <f t="shared" si="24"/>
        <v/>
      </c>
      <c r="J377"/>
      <c r="K377"/>
      <c r="L377"/>
      <c r="M377"/>
      <c r="O377"/>
      <c r="P377"/>
      <c r="Q377"/>
    </row>
    <row r="378" spans="1:17" ht="14.4" x14ac:dyDescent="0.3">
      <c r="A378" s="1" t="str">
        <f>IF(OR(A377="",F377=0,A377=Refinance_Calculator!$C$16),"",A377+1)</f>
        <v/>
      </c>
      <c r="B378" s="3" t="str">
        <f t="shared" si="25"/>
        <v/>
      </c>
      <c r="C378" s="3" t="str">
        <f>IF(A378="","",(-PMT(Refinance_Calculator!$C$13/12,Refinance_Calculator!$C$16,Full_Report!$B$86,0,0)))</f>
        <v/>
      </c>
      <c r="D378" s="3" t="str">
        <f t="shared" si="26"/>
        <v/>
      </c>
      <c r="E378" s="3" t="str">
        <f>IF(A378="","",(-PPMT(Refinance_Calculator!$C$13/12,Full_Report!A378,Refinance_Calculator!$C$16,Full_Report!$B$86,0,0)))</f>
        <v/>
      </c>
      <c r="F378" s="3" t="str">
        <f t="shared" si="27"/>
        <v/>
      </c>
      <c r="G378" s="5" t="str">
        <f t="shared" si="23"/>
        <v/>
      </c>
      <c r="H378" s="5" t="str">
        <f t="shared" si="24"/>
        <v/>
      </c>
      <c r="J378"/>
      <c r="K378"/>
      <c r="L378"/>
      <c r="M378"/>
      <c r="O378"/>
      <c r="P378"/>
      <c r="Q378"/>
    </row>
    <row r="379" spans="1:17" ht="14.4" x14ac:dyDescent="0.3">
      <c r="A379" s="1" t="str">
        <f>IF(OR(A378="",F378=0,A378=Refinance_Calculator!$C$16),"",A378+1)</f>
        <v/>
      </c>
      <c r="B379" s="3" t="str">
        <f t="shared" si="25"/>
        <v/>
      </c>
      <c r="C379" s="3" t="str">
        <f>IF(A379="","",(-PMT(Refinance_Calculator!$C$13/12,Refinance_Calculator!$C$16,Full_Report!$B$86,0,0)))</f>
        <v/>
      </c>
      <c r="D379" s="3" t="str">
        <f t="shared" si="26"/>
        <v/>
      </c>
      <c r="E379" s="3" t="str">
        <f>IF(A379="","",(-PPMT(Refinance_Calculator!$C$13/12,Full_Report!A379,Refinance_Calculator!$C$16,Full_Report!$B$86,0,0)))</f>
        <v/>
      </c>
      <c r="F379" s="3" t="str">
        <f t="shared" si="27"/>
        <v/>
      </c>
      <c r="G379" s="5" t="str">
        <f t="shared" si="23"/>
        <v/>
      </c>
      <c r="H379" s="5" t="str">
        <f t="shared" si="24"/>
        <v/>
      </c>
      <c r="J379"/>
      <c r="K379"/>
      <c r="L379"/>
      <c r="M379"/>
      <c r="O379"/>
      <c r="P379"/>
      <c r="Q379"/>
    </row>
    <row r="380" spans="1:17" ht="14.4" x14ac:dyDescent="0.3">
      <c r="A380" s="1" t="str">
        <f>IF(OR(A379="",F379=0,A379=Refinance_Calculator!$C$16),"",A379+1)</f>
        <v/>
      </c>
      <c r="B380" s="3" t="str">
        <f t="shared" si="25"/>
        <v/>
      </c>
      <c r="C380" s="3" t="str">
        <f>IF(A380="","",(-PMT(Refinance_Calculator!$C$13/12,Refinance_Calculator!$C$16,Full_Report!$B$86,0,0)))</f>
        <v/>
      </c>
      <c r="D380" s="3" t="str">
        <f t="shared" si="26"/>
        <v/>
      </c>
      <c r="E380" s="3" t="str">
        <f>IF(A380="","",(-PPMT(Refinance_Calculator!$C$13/12,Full_Report!A380,Refinance_Calculator!$C$16,Full_Report!$B$86,0,0)))</f>
        <v/>
      </c>
      <c r="F380" s="3" t="str">
        <f t="shared" si="27"/>
        <v/>
      </c>
      <c r="G380" s="5" t="str">
        <f t="shared" si="23"/>
        <v/>
      </c>
      <c r="H380" s="5" t="str">
        <f t="shared" si="24"/>
        <v/>
      </c>
      <c r="J380"/>
      <c r="K380"/>
      <c r="L380"/>
      <c r="M380"/>
      <c r="O380"/>
      <c r="P380"/>
      <c r="Q380"/>
    </row>
    <row r="381" spans="1:17" ht="14.4" x14ac:dyDescent="0.3">
      <c r="A381" s="1" t="str">
        <f>IF(OR(A380="",F380=0,A380=Refinance_Calculator!$C$16),"",A380+1)</f>
        <v/>
      </c>
      <c r="B381" s="3" t="str">
        <f t="shared" si="25"/>
        <v/>
      </c>
      <c r="C381" s="3" t="str">
        <f>IF(A381="","",(-PMT(Refinance_Calculator!$C$13/12,Refinance_Calculator!$C$16,Full_Report!$B$86,0,0)))</f>
        <v/>
      </c>
      <c r="D381" s="3" t="str">
        <f t="shared" si="26"/>
        <v/>
      </c>
      <c r="E381" s="3" t="str">
        <f>IF(A381="","",(-PPMT(Refinance_Calculator!$C$13/12,Full_Report!A381,Refinance_Calculator!$C$16,Full_Report!$B$86,0,0)))</f>
        <v/>
      </c>
      <c r="F381" s="3" t="str">
        <f t="shared" si="27"/>
        <v/>
      </c>
      <c r="G381" s="5" t="str">
        <f t="shared" si="23"/>
        <v/>
      </c>
      <c r="H381" s="5" t="str">
        <f t="shared" si="24"/>
        <v/>
      </c>
      <c r="J381"/>
      <c r="K381"/>
      <c r="L381"/>
      <c r="M381"/>
      <c r="O381"/>
      <c r="P381"/>
      <c r="Q381"/>
    </row>
    <row r="382" spans="1:17" ht="14.4" x14ac:dyDescent="0.3">
      <c r="A382" s="1" t="str">
        <f>IF(OR(A381="",F381=0,A381=Refinance_Calculator!$C$16),"",A381+1)</f>
        <v/>
      </c>
      <c r="B382" s="3" t="str">
        <f t="shared" si="25"/>
        <v/>
      </c>
      <c r="C382" s="3" t="str">
        <f>IF(A382="","",(-PMT(Refinance_Calculator!$C$13/12,Refinance_Calculator!$C$16,Full_Report!$B$86,0,0)))</f>
        <v/>
      </c>
      <c r="D382" s="3" t="str">
        <f t="shared" si="26"/>
        <v/>
      </c>
      <c r="E382" s="3" t="str">
        <f>IF(A382="","",(-PPMT(Refinance_Calculator!$C$13/12,Full_Report!A382,Refinance_Calculator!$C$16,Full_Report!$B$86,0,0)))</f>
        <v/>
      </c>
      <c r="F382" s="3" t="str">
        <f t="shared" si="27"/>
        <v/>
      </c>
      <c r="G382" s="5" t="str">
        <f t="shared" si="23"/>
        <v/>
      </c>
      <c r="H382" s="5" t="str">
        <f t="shared" si="24"/>
        <v/>
      </c>
      <c r="J382"/>
      <c r="K382"/>
      <c r="L382"/>
      <c r="M382"/>
      <c r="O382"/>
      <c r="P382"/>
      <c r="Q382"/>
    </row>
    <row r="383" spans="1:17" ht="14.4" x14ac:dyDescent="0.3">
      <c r="A383" s="1" t="str">
        <f>IF(OR(A382="",F382=0,A382=Refinance_Calculator!$C$16),"",A382+1)</f>
        <v/>
      </c>
      <c r="B383" s="3" t="str">
        <f t="shared" si="25"/>
        <v/>
      </c>
      <c r="C383" s="3" t="str">
        <f>IF(A383="","",(-PMT(Refinance_Calculator!$C$13/12,Refinance_Calculator!$C$16,Full_Report!$B$86,0,0)))</f>
        <v/>
      </c>
      <c r="D383" s="3" t="str">
        <f t="shared" si="26"/>
        <v/>
      </c>
      <c r="E383" s="3" t="str">
        <f>IF(A383="","",(-PPMT(Refinance_Calculator!$C$13/12,Full_Report!A383,Refinance_Calculator!$C$16,Full_Report!$B$86,0,0)))</f>
        <v/>
      </c>
      <c r="F383" s="3" t="str">
        <f t="shared" si="27"/>
        <v/>
      </c>
      <c r="G383" s="5" t="str">
        <f t="shared" si="23"/>
        <v/>
      </c>
      <c r="H383" s="5" t="str">
        <f t="shared" si="24"/>
        <v/>
      </c>
      <c r="J383"/>
      <c r="K383"/>
      <c r="L383"/>
      <c r="M383"/>
      <c r="O383"/>
      <c r="P383"/>
      <c r="Q383"/>
    </row>
    <row r="384" spans="1:17" ht="14.4" x14ac:dyDescent="0.3">
      <c r="A384" s="1" t="str">
        <f>IF(OR(A383="",F383=0,A383=Refinance_Calculator!$C$16),"",A383+1)</f>
        <v/>
      </c>
      <c r="B384" s="3" t="str">
        <f t="shared" si="25"/>
        <v/>
      </c>
      <c r="C384" s="3" t="str">
        <f>IF(A384="","",(-PMT(Refinance_Calculator!$C$13/12,Refinance_Calculator!$C$16,Full_Report!$B$86,0,0)))</f>
        <v/>
      </c>
      <c r="D384" s="3" t="str">
        <f t="shared" si="26"/>
        <v/>
      </c>
      <c r="E384" s="3" t="str">
        <f>IF(A384="","",(-PPMT(Refinance_Calculator!$C$13/12,Full_Report!A384,Refinance_Calculator!$C$16,Full_Report!$B$86,0,0)))</f>
        <v/>
      </c>
      <c r="F384" s="3" t="str">
        <f t="shared" si="27"/>
        <v/>
      </c>
      <c r="G384" s="5" t="str">
        <f t="shared" si="23"/>
        <v/>
      </c>
      <c r="H384" s="5" t="str">
        <f t="shared" si="24"/>
        <v/>
      </c>
      <c r="J384"/>
      <c r="K384"/>
      <c r="L384"/>
      <c r="M384"/>
      <c r="O384"/>
      <c r="P384"/>
      <c r="Q384"/>
    </row>
    <row r="385" spans="1:17" ht="14.4" x14ac:dyDescent="0.3">
      <c r="A385" s="1" t="str">
        <f>IF(OR(A384="",F384=0,A384=Refinance_Calculator!$C$16),"",A384+1)</f>
        <v/>
      </c>
      <c r="B385" s="3" t="str">
        <f t="shared" si="25"/>
        <v/>
      </c>
      <c r="C385" s="3" t="str">
        <f>IF(A385="","",(-PMT(Refinance_Calculator!$C$13/12,Refinance_Calculator!$C$16,Full_Report!$B$86,0,0)))</f>
        <v/>
      </c>
      <c r="D385" s="3" t="str">
        <f t="shared" si="26"/>
        <v/>
      </c>
      <c r="E385" s="3" t="str">
        <f>IF(A385="","",(-PPMT(Refinance_Calculator!$C$13/12,Full_Report!A385,Refinance_Calculator!$C$16,Full_Report!$B$86,0,0)))</f>
        <v/>
      </c>
      <c r="F385" s="3" t="str">
        <f t="shared" si="27"/>
        <v/>
      </c>
      <c r="G385" s="5" t="str">
        <f t="shared" si="23"/>
        <v/>
      </c>
      <c r="H385" s="5" t="str">
        <f t="shared" si="24"/>
        <v/>
      </c>
      <c r="J385"/>
      <c r="K385"/>
      <c r="L385"/>
      <c r="M385"/>
      <c r="O385"/>
      <c r="P385"/>
      <c r="Q385"/>
    </row>
    <row r="386" spans="1:17" ht="14.4" x14ac:dyDescent="0.3">
      <c r="A386" s="1" t="str">
        <f>IF(OR(A385="",F385=0,A385=Refinance_Calculator!$C$16),"",A385+1)</f>
        <v/>
      </c>
      <c r="B386" s="3" t="str">
        <f t="shared" si="25"/>
        <v/>
      </c>
      <c r="C386" s="3" t="str">
        <f>IF(A386="","",(-PMT(Refinance_Calculator!$C$13/12,Refinance_Calculator!$C$16,Full_Report!$B$86,0,0)))</f>
        <v/>
      </c>
      <c r="D386" s="3" t="str">
        <f t="shared" si="26"/>
        <v/>
      </c>
      <c r="E386" s="3" t="str">
        <f>IF(A386="","",(-PPMT(Refinance_Calculator!$C$13/12,Full_Report!A386,Refinance_Calculator!$C$16,Full_Report!$B$86,0,0)))</f>
        <v/>
      </c>
      <c r="F386" s="3" t="str">
        <f t="shared" si="27"/>
        <v/>
      </c>
      <c r="G386" s="5" t="str">
        <f t="shared" si="23"/>
        <v/>
      </c>
      <c r="H386" s="5" t="str">
        <f t="shared" si="24"/>
        <v/>
      </c>
      <c r="J386"/>
      <c r="K386"/>
      <c r="L386"/>
      <c r="M386"/>
      <c r="O386"/>
      <c r="P386"/>
      <c r="Q386"/>
    </row>
    <row r="387" spans="1:17" ht="14.4" x14ac:dyDescent="0.3">
      <c r="A387" s="1" t="str">
        <f>IF(OR(A386="",F386=0,A386=Refinance_Calculator!$C$16),"",A386+1)</f>
        <v/>
      </c>
      <c r="B387" s="3" t="str">
        <f t="shared" si="25"/>
        <v/>
      </c>
      <c r="C387" s="3" t="str">
        <f>IF(A387="","",(-PMT(Refinance_Calculator!$C$13/12,Refinance_Calculator!$C$16,Full_Report!$B$86,0,0)))</f>
        <v/>
      </c>
      <c r="D387" s="3" t="str">
        <f t="shared" si="26"/>
        <v/>
      </c>
      <c r="E387" s="3" t="str">
        <f>IF(A387="","",(-PPMT(Refinance_Calculator!$C$13/12,Full_Report!A387,Refinance_Calculator!$C$16,Full_Report!$B$86,0,0)))</f>
        <v/>
      </c>
      <c r="F387" s="3" t="str">
        <f t="shared" si="27"/>
        <v/>
      </c>
      <c r="G387" s="5" t="str">
        <f t="shared" si="23"/>
        <v/>
      </c>
      <c r="H387" s="5" t="str">
        <f t="shared" si="24"/>
        <v/>
      </c>
      <c r="J387"/>
      <c r="K387"/>
      <c r="L387"/>
      <c r="M387"/>
      <c r="O387"/>
      <c r="P387"/>
      <c r="Q387"/>
    </row>
    <row r="388" spans="1:17" ht="14.4" x14ac:dyDescent="0.3">
      <c r="A388" s="1" t="str">
        <f>IF(OR(A387="",F387=0,A387=Refinance_Calculator!$C$16),"",A387+1)</f>
        <v/>
      </c>
      <c r="B388" s="3" t="str">
        <f t="shared" si="25"/>
        <v/>
      </c>
      <c r="C388" s="3" t="str">
        <f>IF(A388="","",(-PMT(Refinance_Calculator!$C$13/12,Refinance_Calculator!$C$16,Full_Report!$B$86,0,0)))</f>
        <v/>
      </c>
      <c r="D388" s="3" t="str">
        <f t="shared" si="26"/>
        <v/>
      </c>
      <c r="E388" s="3" t="str">
        <f>IF(A388="","",(-PPMT(Refinance_Calculator!$C$13/12,Full_Report!A388,Refinance_Calculator!$C$16,Full_Report!$B$86,0,0)))</f>
        <v/>
      </c>
      <c r="F388" s="3" t="str">
        <f t="shared" si="27"/>
        <v/>
      </c>
      <c r="G388" s="5" t="str">
        <f t="shared" si="23"/>
        <v/>
      </c>
      <c r="H388" s="5" t="str">
        <f t="shared" si="24"/>
        <v/>
      </c>
      <c r="J388"/>
      <c r="K388"/>
      <c r="L388"/>
      <c r="M388"/>
      <c r="O388"/>
      <c r="P388"/>
      <c r="Q388"/>
    </row>
    <row r="389" spans="1:17" ht="14.4" x14ac:dyDescent="0.3">
      <c r="A389" s="1" t="str">
        <f>IF(OR(A388="",F388=0,A388=Refinance_Calculator!$C$16),"",A388+1)</f>
        <v/>
      </c>
      <c r="B389" s="3" t="str">
        <f t="shared" si="25"/>
        <v/>
      </c>
      <c r="C389" s="3" t="str">
        <f>IF(A389="","",(-PMT(Refinance_Calculator!$C$13/12,Refinance_Calculator!$C$16,Full_Report!$B$86,0,0)))</f>
        <v/>
      </c>
      <c r="D389" s="3" t="str">
        <f t="shared" si="26"/>
        <v/>
      </c>
      <c r="E389" s="3" t="str">
        <f>IF(A389="","",(-PPMT(Refinance_Calculator!$C$13/12,Full_Report!A389,Refinance_Calculator!$C$16,Full_Report!$B$86,0,0)))</f>
        <v/>
      </c>
      <c r="F389" s="3" t="str">
        <f t="shared" si="27"/>
        <v/>
      </c>
      <c r="G389" s="5" t="str">
        <f t="shared" si="23"/>
        <v/>
      </c>
      <c r="H389" s="5" t="str">
        <f t="shared" si="24"/>
        <v/>
      </c>
      <c r="J389"/>
      <c r="K389"/>
      <c r="L389"/>
      <c r="M389"/>
      <c r="O389"/>
      <c r="P389"/>
      <c r="Q389"/>
    </row>
    <row r="390" spans="1:17" ht="14.4" x14ac:dyDescent="0.3">
      <c r="A390" s="1" t="str">
        <f>IF(OR(A389="",F389=0,A389=Refinance_Calculator!$C$16),"",A389+1)</f>
        <v/>
      </c>
      <c r="B390" s="3" t="str">
        <f t="shared" si="25"/>
        <v/>
      </c>
      <c r="C390" s="3" t="str">
        <f>IF(A390="","",(-PMT(Refinance_Calculator!$C$13/12,Refinance_Calculator!$C$16,Full_Report!$B$86,0,0)))</f>
        <v/>
      </c>
      <c r="D390" s="3" t="str">
        <f t="shared" si="26"/>
        <v/>
      </c>
      <c r="E390" s="3" t="str">
        <f>IF(A390="","",(-PPMT(Refinance_Calculator!$C$13/12,Full_Report!A390,Refinance_Calculator!$C$16,Full_Report!$B$86,0,0)))</f>
        <v/>
      </c>
      <c r="F390" s="3" t="str">
        <f t="shared" si="27"/>
        <v/>
      </c>
      <c r="G390" s="5" t="str">
        <f t="shared" si="23"/>
        <v/>
      </c>
      <c r="H390" s="5" t="str">
        <f t="shared" si="24"/>
        <v/>
      </c>
      <c r="J390"/>
      <c r="K390"/>
      <c r="L390"/>
      <c r="M390"/>
      <c r="O390"/>
      <c r="P390"/>
      <c r="Q390"/>
    </row>
    <row r="391" spans="1:17" ht="14.4" x14ac:dyDescent="0.3">
      <c r="A391" s="1" t="str">
        <f>IF(OR(A390="",F390=0,A390=Refinance_Calculator!$C$16),"",A390+1)</f>
        <v/>
      </c>
      <c r="B391" s="3" t="str">
        <f t="shared" si="25"/>
        <v/>
      </c>
      <c r="C391" s="3" t="str">
        <f>IF(A391="","",(-PMT(Refinance_Calculator!$C$13/12,Refinance_Calculator!$C$16,Full_Report!$B$86,0,0)))</f>
        <v/>
      </c>
      <c r="D391" s="3" t="str">
        <f t="shared" si="26"/>
        <v/>
      </c>
      <c r="E391" s="3" t="str">
        <f>IF(A391="","",(-PPMT(Refinance_Calculator!$C$13/12,Full_Report!A391,Refinance_Calculator!$C$16,Full_Report!$B$86,0,0)))</f>
        <v/>
      </c>
      <c r="F391" s="3" t="str">
        <f t="shared" si="27"/>
        <v/>
      </c>
      <c r="G391" s="5" t="str">
        <f t="shared" si="23"/>
        <v/>
      </c>
      <c r="H391" s="5" t="str">
        <f t="shared" si="24"/>
        <v/>
      </c>
      <c r="J391"/>
      <c r="K391"/>
      <c r="L391"/>
      <c r="M391"/>
      <c r="O391"/>
      <c r="P391"/>
      <c r="Q391"/>
    </row>
    <row r="392" spans="1:17" ht="14.4" x14ac:dyDescent="0.3">
      <c r="A392" s="1" t="str">
        <f>IF(OR(A391="",F391=0,A391=Refinance_Calculator!$C$16),"",A391+1)</f>
        <v/>
      </c>
      <c r="B392" s="3" t="str">
        <f t="shared" si="25"/>
        <v/>
      </c>
      <c r="C392" s="3" t="str">
        <f>IF(A392="","",(-PMT(Refinance_Calculator!$C$13/12,Refinance_Calculator!$C$16,Full_Report!$B$86,0,0)))</f>
        <v/>
      </c>
      <c r="D392" s="3" t="str">
        <f t="shared" si="26"/>
        <v/>
      </c>
      <c r="E392" s="3" t="str">
        <f>IF(A392="","",(-PPMT(Refinance_Calculator!$C$13/12,Full_Report!A392,Refinance_Calculator!$C$16,Full_Report!$B$86,0,0)))</f>
        <v/>
      </c>
      <c r="F392" s="3" t="str">
        <f t="shared" si="27"/>
        <v/>
      </c>
      <c r="G392" s="5" t="str">
        <f t="shared" si="23"/>
        <v/>
      </c>
      <c r="H392" s="5" t="str">
        <f t="shared" si="24"/>
        <v/>
      </c>
      <c r="J392"/>
      <c r="K392"/>
      <c r="L392"/>
      <c r="M392"/>
      <c r="O392"/>
      <c r="P392"/>
      <c r="Q392"/>
    </row>
    <row r="393" spans="1:17" ht="14.4" x14ac:dyDescent="0.3">
      <c r="A393" s="1" t="str">
        <f>IF(OR(A392="",F392=0,A392=Refinance_Calculator!$C$16),"",A392+1)</f>
        <v/>
      </c>
      <c r="B393" s="3" t="str">
        <f t="shared" si="25"/>
        <v/>
      </c>
      <c r="C393" s="3" t="str">
        <f>IF(A393="","",(-PMT(Refinance_Calculator!$C$13/12,Refinance_Calculator!$C$16,Full_Report!$B$86,0,0)))</f>
        <v/>
      </c>
      <c r="D393" s="3" t="str">
        <f t="shared" si="26"/>
        <v/>
      </c>
      <c r="E393" s="3" t="str">
        <f>IF(A393="","",(-PPMT(Refinance_Calculator!$C$13/12,Full_Report!A393,Refinance_Calculator!$C$16,Full_Report!$B$86,0,0)))</f>
        <v/>
      </c>
      <c r="F393" s="3" t="str">
        <f t="shared" si="27"/>
        <v/>
      </c>
      <c r="G393" s="5" t="str">
        <f t="shared" si="23"/>
        <v/>
      </c>
      <c r="H393" s="5" t="str">
        <f t="shared" si="24"/>
        <v/>
      </c>
      <c r="J393"/>
      <c r="K393"/>
      <c r="L393"/>
      <c r="M393"/>
      <c r="O393"/>
      <c r="P393"/>
      <c r="Q393"/>
    </row>
    <row r="394" spans="1:17" ht="14.4" x14ac:dyDescent="0.3">
      <c r="A394" s="1" t="str">
        <f>IF(OR(A393="",F393=0,A393=Refinance_Calculator!$C$16),"",A393+1)</f>
        <v/>
      </c>
      <c r="B394" s="3" t="str">
        <f t="shared" si="25"/>
        <v/>
      </c>
      <c r="C394" s="3" t="str">
        <f>IF(A394="","",(-PMT(Refinance_Calculator!$C$13/12,Refinance_Calculator!$C$16,Full_Report!$B$86,0,0)))</f>
        <v/>
      </c>
      <c r="D394" s="3" t="str">
        <f t="shared" si="26"/>
        <v/>
      </c>
      <c r="E394" s="3" t="str">
        <f>IF(A394="","",(-PPMT(Refinance_Calculator!$C$13/12,Full_Report!A394,Refinance_Calculator!$C$16,Full_Report!$B$86,0,0)))</f>
        <v/>
      </c>
      <c r="F394" s="3" t="str">
        <f t="shared" si="27"/>
        <v/>
      </c>
      <c r="G394" s="5" t="str">
        <f t="shared" si="23"/>
        <v/>
      </c>
      <c r="H394" s="5" t="str">
        <f t="shared" si="24"/>
        <v/>
      </c>
      <c r="J394"/>
      <c r="K394"/>
      <c r="L394"/>
      <c r="M394"/>
      <c r="O394"/>
      <c r="P394"/>
      <c r="Q394"/>
    </row>
    <row r="395" spans="1:17" ht="14.4" x14ac:dyDescent="0.3">
      <c r="A395" s="1" t="str">
        <f>IF(OR(A394="",F394=0,A394=Refinance_Calculator!$C$16),"",A394+1)</f>
        <v/>
      </c>
      <c r="B395" s="3" t="str">
        <f t="shared" si="25"/>
        <v/>
      </c>
      <c r="C395" s="3" t="str">
        <f>IF(A395="","",(-PMT(Refinance_Calculator!$C$13/12,Refinance_Calculator!$C$16,Full_Report!$B$86,0,0)))</f>
        <v/>
      </c>
      <c r="D395" s="3" t="str">
        <f t="shared" si="26"/>
        <v/>
      </c>
      <c r="E395" s="3" t="str">
        <f>IF(A395="","",(-PPMT(Refinance_Calculator!$C$13/12,Full_Report!A395,Refinance_Calculator!$C$16,Full_Report!$B$86,0,0)))</f>
        <v/>
      </c>
      <c r="F395" s="3" t="str">
        <f t="shared" si="27"/>
        <v/>
      </c>
      <c r="G395" s="5" t="str">
        <f t="shared" si="23"/>
        <v/>
      </c>
      <c r="H395" s="5" t="str">
        <f t="shared" si="24"/>
        <v/>
      </c>
      <c r="J395"/>
      <c r="K395"/>
      <c r="L395"/>
      <c r="M395"/>
      <c r="O395"/>
      <c r="P395"/>
      <c r="Q395"/>
    </row>
    <row r="396" spans="1:17" ht="14.4" x14ac:dyDescent="0.3">
      <c r="A396" s="1" t="str">
        <f>IF(OR(A395="",F395=0,A395=Refinance_Calculator!$C$16),"",A395+1)</f>
        <v/>
      </c>
      <c r="B396" s="3" t="str">
        <f t="shared" si="25"/>
        <v/>
      </c>
      <c r="C396" s="3" t="str">
        <f>IF(A396="","",(-PMT(Refinance_Calculator!$C$13/12,Refinance_Calculator!$C$16,Full_Report!$B$86,0,0)))</f>
        <v/>
      </c>
      <c r="D396" s="3" t="str">
        <f t="shared" si="26"/>
        <v/>
      </c>
      <c r="E396" s="3" t="str">
        <f>IF(A396="","",(-PPMT(Refinance_Calculator!$C$13/12,Full_Report!A396,Refinance_Calculator!$C$16,Full_Report!$B$86,0,0)))</f>
        <v/>
      </c>
      <c r="F396" s="3" t="str">
        <f t="shared" si="27"/>
        <v/>
      </c>
      <c r="G396" s="5" t="str">
        <f t="shared" si="23"/>
        <v/>
      </c>
      <c r="H396" s="5" t="str">
        <f t="shared" si="24"/>
        <v/>
      </c>
      <c r="J396"/>
      <c r="K396"/>
      <c r="L396"/>
      <c r="M396"/>
      <c r="O396"/>
      <c r="P396"/>
      <c r="Q396"/>
    </row>
    <row r="397" spans="1:17" ht="14.4" x14ac:dyDescent="0.3">
      <c r="A397" s="1" t="str">
        <f>IF(OR(A396="",F396=0,A396=Refinance_Calculator!$C$16),"",A396+1)</f>
        <v/>
      </c>
      <c r="B397" s="3" t="str">
        <f t="shared" si="25"/>
        <v/>
      </c>
      <c r="C397" s="3" t="str">
        <f>IF(A397="","",(-PMT(Refinance_Calculator!$C$13/12,Refinance_Calculator!$C$16,Full_Report!$B$86,0,0)))</f>
        <v/>
      </c>
      <c r="D397" s="3" t="str">
        <f t="shared" si="26"/>
        <v/>
      </c>
      <c r="E397" s="3" t="str">
        <f>IF(A397="","",(-PPMT(Refinance_Calculator!$C$13/12,Full_Report!A397,Refinance_Calculator!$C$16,Full_Report!$B$86,0,0)))</f>
        <v/>
      </c>
      <c r="F397" s="3" t="str">
        <f t="shared" si="27"/>
        <v/>
      </c>
      <c r="G397" s="5" t="str">
        <f t="shared" si="23"/>
        <v/>
      </c>
      <c r="H397" s="5" t="str">
        <f t="shared" si="24"/>
        <v/>
      </c>
      <c r="J397"/>
      <c r="K397"/>
      <c r="L397"/>
      <c r="M397"/>
      <c r="O397"/>
      <c r="P397"/>
      <c r="Q397"/>
    </row>
    <row r="398" spans="1:17" ht="14.4" x14ac:dyDescent="0.3">
      <c r="A398" s="1" t="str">
        <f>IF(OR(A397="",F397=0,A397=Refinance_Calculator!$C$16),"",A397+1)</f>
        <v/>
      </c>
      <c r="B398" s="3" t="str">
        <f t="shared" si="25"/>
        <v/>
      </c>
      <c r="C398" s="3" t="str">
        <f>IF(A398="","",(-PMT(Refinance_Calculator!$C$13/12,Refinance_Calculator!$C$16,Full_Report!$B$86,0,0)))</f>
        <v/>
      </c>
      <c r="D398" s="3" t="str">
        <f t="shared" si="26"/>
        <v/>
      </c>
      <c r="E398" s="3" t="str">
        <f>IF(A398="","",(-PPMT(Refinance_Calculator!$C$13/12,Full_Report!A398,Refinance_Calculator!$C$16,Full_Report!$B$86,0,0)))</f>
        <v/>
      </c>
      <c r="F398" s="3" t="str">
        <f t="shared" si="27"/>
        <v/>
      </c>
      <c r="G398" s="5" t="str">
        <f t="shared" si="23"/>
        <v/>
      </c>
      <c r="H398" s="5" t="str">
        <f t="shared" si="24"/>
        <v/>
      </c>
      <c r="J398"/>
      <c r="K398"/>
      <c r="L398"/>
      <c r="M398"/>
      <c r="O398"/>
      <c r="P398"/>
      <c r="Q398"/>
    </row>
    <row r="399" spans="1:17" ht="14.4" x14ac:dyDescent="0.3">
      <c r="A399" s="1" t="str">
        <f>IF(OR(A398="",F398=0,A398=Refinance_Calculator!$C$16),"",A398+1)</f>
        <v/>
      </c>
      <c r="B399" s="3" t="str">
        <f t="shared" si="25"/>
        <v/>
      </c>
      <c r="C399" s="3" t="str">
        <f>IF(A399="","",(-PMT(Refinance_Calculator!$C$13/12,Refinance_Calculator!$C$16,Full_Report!$B$86,0,0)))</f>
        <v/>
      </c>
      <c r="D399" s="3" t="str">
        <f t="shared" si="26"/>
        <v/>
      </c>
      <c r="E399" s="3" t="str">
        <f>IF(A399="","",(-PPMT(Refinance_Calculator!$C$13/12,Full_Report!A399,Refinance_Calculator!$C$16,Full_Report!$B$86,0,0)))</f>
        <v/>
      </c>
      <c r="F399" s="3" t="str">
        <f t="shared" si="27"/>
        <v/>
      </c>
      <c r="G399" s="5" t="str">
        <f t="shared" si="23"/>
        <v/>
      </c>
      <c r="H399" s="5" t="str">
        <f t="shared" si="24"/>
        <v/>
      </c>
      <c r="J399"/>
      <c r="K399"/>
      <c r="L399"/>
      <c r="M399"/>
      <c r="O399"/>
      <c r="P399"/>
      <c r="Q399"/>
    </row>
    <row r="400" spans="1:17" ht="14.4" x14ac:dyDescent="0.3">
      <c r="A400" s="1" t="str">
        <f>IF(OR(A399="",F399=0,A399=Refinance_Calculator!$C$16),"",A399+1)</f>
        <v/>
      </c>
      <c r="B400" s="3" t="str">
        <f t="shared" si="25"/>
        <v/>
      </c>
      <c r="C400" s="3" t="str">
        <f>IF(A400="","",(-PMT(Refinance_Calculator!$C$13/12,Refinance_Calculator!$C$16,Full_Report!$B$86,0,0)))</f>
        <v/>
      </c>
      <c r="D400" s="3" t="str">
        <f t="shared" si="26"/>
        <v/>
      </c>
      <c r="E400" s="3" t="str">
        <f>IF(A400="","",(-PPMT(Refinance_Calculator!$C$13/12,Full_Report!A400,Refinance_Calculator!$C$16,Full_Report!$B$86,0,0)))</f>
        <v/>
      </c>
      <c r="F400" s="3" t="str">
        <f t="shared" si="27"/>
        <v/>
      </c>
      <c r="G400" s="5" t="str">
        <f t="shared" si="23"/>
        <v/>
      </c>
      <c r="H400" s="5" t="str">
        <f t="shared" si="24"/>
        <v/>
      </c>
      <c r="J400"/>
      <c r="K400"/>
      <c r="L400"/>
      <c r="M400"/>
      <c r="O400"/>
      <c r="P400"/>
      <c r="Q400"/>
    </row>
    <row r="401" spans="1:17" ht="14.4" x14ac:dyDescent="0.3">
      <c r="A401" s="1" t="str">
        <f>IF(OR(A400="",F400=0,A400=Refinance_Calculator!$C$16),"",A400+1)</f>
        <v/>
      </c>
      <c r="B401" s="3" t="str">
        <f t="shared" si="25"/>
        <v/>
      </c>
      <c r="C401" s="3" t="str">
        <f>IF(A401="","",(-PMT(Refinance_Calculator!$C$13/12,Refinance_Calculator!$C$16,Full_Report!$B$86,0,0)))</f>
        <v/>
      </c>
      <c r="D401" s="3" t="str">
        <f t="shared" si="26"/>
        <v/>
      </c>
      <c r="E401" s="3" t="str">
        <f>IF(A401="","",(-PPMT(Refinance_Calculator!$C$13/12,Full_Report!A401,Refinance_Calculator!$C$16,Full_Report!$B$86,0,0)))</f>
        <v/>
      </c>
      <c r="F401" s="3" t="str">
        <f t="shared" si="27"/>
        <v/>
      </c>
      <c r="G401" s="5" t="str">
        <f t="shared" si="23"/>
        <v/>
      </c>
      <c r="H401" s="5" t="str">
        <f t="shared" si="24"/>
        <v/>
      </c>
      <c r="J401"/>
      <c r="K401"/>
      <c r="L401"/>
      <c r="M401"/>
      <c r="O401"/>
      <c r="P401"/>
      <c r="Q401"/>
    </row>
    <row r="402" spans="1:17" ht="14.4" x14ac:dyDescent="0.3">
      <c r="A402" s="1" t="str">
        <f>IF(OR(A401="",F401=0,A401=Refinance_Calculator!$C$16),"",A401+1)</f>
        <v/>
      </c>
      <c r="B402" s="3" t="str">
        <f t="shared" si="25"/>
        <v/>
      </c>
      <c r="C402" s="3" t="str">
        <f>IF(A402="","",(-PMT(Refinance_Calculator!$C$13/12,Refinance_Calculator!$C$16,Full_Report!$B$86,0,0)))</f>
        <v/>
      </c>
      <c r="D402" s="3" t="str">
        <f t="shared" si="26"/>
        <v/>
      </c>
      <c r="E402" s="3" t="str">
        <f>IF(A402="","",(-PPMT(Refinance_Calculator!$C$13/12,Full_Report!A402,Refinance_Calculator!$C$16,Full_Report!$B$86,0,0)))</f>
        <v/>
      </c>
      <c r="F402" s="3" t="str">
        <f t="shared" si="27"/>
        <v/>
      </c>
      <c r="G402" s="5" t="str">
        <f t="shared" si="23"/>
        <v/>
      </c>
      <c r="H402" s="5" t="str">
        <f t="shared" si="24"/>
        <v/>
      </c>
      <c r="J402"/>
      <c r="K402"/>
      <c r="L402"/>
      <c r="M402"/>
      <c r="O402"/>
      <c r="P402"/>
      <c r="Q402"/>
    </row>
    <row r="403" spans="1:17" ht="14.4" x14ac:dyDescent="0.3">
      <c r="A403" s="1" t="str">
        <f>IF(OR(A402="",F402=0,A402=Refinance_Calculator!$C$16),"",A402+1)</f>
        <v/>
      </c>
      <c r="B403" s="3" t="str">
        <f t="shared" si="25"/>
        <v/>
      </c>
      <c r="C403" s="3" t="str">
        <f>IF(A403="","",(-PMT(Refinance_Calculator!$C$13/12,Refinance_Calculator!$C$16,Full_Report!$B$86,0,0)))</f>
        <v/>
      </c>
      <c r="D403" s="3" t="str">
        <f t="shared" si="26"/>
        <v/>
      </c>
      <c r="E403" s="3" t="str">
        <f>IF(A403="","",(-PPMT(Refinance_Calculator!$C$13/12,Full_Report!A403,Refinance_Calculator!$C$16,Full_Report!$B$86,0,0)))</f>
        <v/>
      </c>
      <c r="F403" s="3" t="str">
        <f t="shared" si="27"/>
        <v/>
      </c>
      <c r="G403" s="5" t="str">
        <f t="shared" si="23"/>
        <v/>
      </c>
      <c r="H403" s="5" t="str">
        <f t="shared" si="24"/>
        <v/>
      </c>
      <c r="J403"/>
      <c r="K403"/>
      <c r="L403"/>
      <c r="M403"/>
      <c r="O403"/>
      <c r="P403"/>
      <c r="Q403"/>
    </row>
    <row r="404" spans="1:17" ht="14.4" x14ac:dyDescent="0.3">
      <c r="A404" s="1" t="str">
        <f>IF(OR(A403="",F403=0,A403=Refinance_Calculator!$C$16),"",A403+1)</f>
        <v/>
      </c>
      <c r="B404" s="3" t="str">
        <f t="shared" si="25"/>
        <v/>
      </c>
      <c r="C404" s="3" t="str">
        <f>IF(A404="","",(-PMT(Refinance_Calculator!$C$13/12,Refinance_Calculator!$C$16,Full_Report!$B$86,0,0)))</f>
        <v/>
      </c>
      <c r="D404" s="3" t="str">
        <f t="shared" si="26"/>
        <v/>
      </c>
      <c r="E404" s="3" t="str">
        <f>IF(A404="","",(-PPMT(Refinance_Calculator!$C$13/12,Full_Report!A404,Refinance_Calculator!$C$16,Full_Report!$B$86,0,0)))</f>
        <v/>
      </c>
      <c r="F404" s="3" t="str">
        <f t="shared" si="27"/>
        <v/>
      </c>
      <c r="G404" s="5" t="str">
        <f t="shared" si="23"/>
        <v/>
      </c>
      <c r="H404" s="5" t="str">
        <f t="shared" si="24"/>
        <v/>
      </c>
      <c r="J404"/>
      <c r="K404"/>
      <c r="L404"/>
      <c r="M404"/>
      <c r="O404"/>
      <c r="P404"/>
      <c r="Q404"/>
    </row>
    <row r="405" spans="1:17" ht="14.4" x14ac:dyDescent="0.3">
      <c r="A405" s="1" t="str">
        <f>IF(OR(A404="",F404=0,A404=Refinance_Calculator!$C$16),"",A404+1)</f>
        <v/>
      </c>
      <c r="B405" s="3" t="str">
        <f t="shared" si="25"/>
        <v/>
      </c>
      <c r="C405" s="3" t="str">
        <f>IF(A405="","",(-PMT(Refinance_Calculator!$C$13/12,Refinance_Calculator!$C$16,Full_Report!$B$86,0,0)))</f>
        <v/>
      </c>
      <c r="D405" s="3" t="str">
        <f t="shared" si="26"/>
        <v/>
      </c>
      <c r="E405" s="3" t="str">
        <f>IF(A405="","",(-PPMT(Refinance_Calculator!$C$13/12,Full_Report!A405,Refinance_Calculator!$C$16,Full_Report!$B$86,0,0)))</f>
        <v/>
      </c>
      <c r="F405" s="3" t="str">
        <f t="shared" si="27"/>
        <v/>
      </c>
      <c r="G405" s="5" t="str">
        <f t="shared" si="23"/>
        <v/>
      </c>
      <c r="H405" s="5" t="str">
        <f t="shared" si="24"/>
        <v/>
      </c>
      <c r="J405"/>
      <c r="K405"/>
      <c r="L405"/>
      <c r="M405"/>
      <c r="O405"/>
      <c r="P405"/>
      <c r="Q405"/>
    </row>
    <row r="406" spans="1:17" ht="14.4" x14ac:dyDescent="0.3">
      <c r="A406" s="1" t="str">
        <f>IF(OR(A405="",F405=0,A405=Refinance_Calculator!$C$16),"",A405+1)</f>
        <v/>
      </c>
      <c r="B406" s="3" t="str">
        <f t="shared" si="25"/>
        <v/>
      </c>
      <c r="C406" s="3" t="str">
        <f>IF(A406="","",(-PMT(Refinance_Calculator!$C$13/12,Refinance_Calculator!$C$16,Full_Report!$B$86,0,0)))</f>
        <v/>
      </c>
      <c r="D406" s="3" t="str">
        <f t="shared" si="26"/>
        <v/>
      </c>
      <c r="E406" s="3" t="str">
        <f>IF(A406="","",(-PPMT(Refinance_Calculator!$C$13/12,Full_Report!A406,Refinance_Calculator!$C$16,Full_Report!$B$86,0,0)))</f>
        <v/>
      </c>
      <c r="F406" s="3" t="str">
        <f t="shared" si="27"/>
        <v/>
      </c>
      <c r="G406" s="5" t="str">
        <f t="shared" si="23"/>
        <v/>
      </c>
      <c r="H406" s="5" t="str">
        <f t="shared" si="24"/>
        <v/>
      </c>
      <c r="J406"/>
      <c r="K406"/>
      <c r="L406"/>
      <c r="M406"/>
      <c r="O406"/>
      <c r="P406"/>
      <c r="Q406"/>
    </row>
    <row r="407" spans="1:17" ht="14.4" x14ac:dyDescent="0.3">
      <c r="A407" s="1" t="str">
        <f>IF(OR(A406="",F406=0,A406=Refinance_Calculator!$C$16),"",A406+1)</f>
        <v/>
      </c>
      <c r="B407" s="3" t="str">
        <f t="shared" si="25"/>
        <v/>
      </c>
      <c r="C407" s="3" t="str">
        <f>IF(A407="","",(-PMT(Refinance_Calculator!$C$13/12,Refinance_Calculator!$C$16,Full_Report!$B$86,0,0)))</f>
        <v/>
      </c>
      <c r="D407" s="3" t="str">
        <f t="shared" si="26"/>
        <v/>
      </c>
      <c r="E407" s="3" t="str">
        <f>IF(A407="","",(-PPMT(Refinance_Calculator!$C$13/12,Full_Report!A407,Refinance_Calculator!$C$16,Full_Report!$B$86,0,0)))</f>
        <v/>
      </c>
      <c r="F407" s="3" t="str">
        <f t="shared" si="27"/>
        <v/>
      </c>
      <c r="G407" s="5" t="str">
        <f t="shared" si="23"/>
        <v/>
      </c>
      <c r="H407" s="5" t="str">
        <f t="shared" si="24"/>
        <v/>
      </c>
      <c r="J407"/>
      <c r="K407"/>
      <c r="L407"/>
      <c r="M407"/>
      <c r="O407"/>
      <c r="P407"/>
      <c r="Q407"/>
    </row>
    <row r="408" spans="1:17" ht="14.4" x14ac:dyDescent="0.3">
      <c r="A408" s="1" t="str">
        <f>IF(OR(A407="",F407=0,A407=Refinance_Calculator!$C$16),"",A407+1)</f>
        <v/>
      </c>
      <c r="B408" s="3" t="str">
        <f t="shared" si="25"/>
        <v/>
      </c>
      <c r="C408" s="3" t="str">
        <f>IF(A408="","",(-PMT(Refinance_Calculator!$C$13/12,Refinance_Calculator!$C$16,Full_Report!$B$86,0,0)))</f>
        <v/>
      </c>
      <c r="D408" s="3" t="str">
        <f t="shared" si="26"/>
        <v/>
      </c>
      <c r="E408" s="3" t="str">
        <f>IF(A408="","",(-PPMT(Refinance_Calculator!$C$13/12,Full_Report!A408,Refinance_Calculator!$C$16,Full_Report!$B$86,0,0)))</f>
        <v/>
      </c>
      <c r="F408" s="3" t="str">
        <f t="shared" si="27"/>
        <v/>
      </c>
      <c r="G408" s="5" t="str">
        <f t="shared" ref="G408:G471" si="28">+IF(A408="","",(E408+G407))</f>
        <v/>
      </c>
      <c r="H408" s="5" t="str">
        <f t="shared" ref="H408:H471" si="29">+IF(B408="","",(D408+H407))</f>
        <v/>
      </c>
      <c r="J408"/>
      <c r="K408"/>
      <c r="L408"/>
      <c r="M408"/>
      <c r="O408"/>
      <c r="P408"/>
      <c r="Q408"/>
    </row>
    <row r="409" spans="1:17" ht="14.4" x14ac:dyDescent="0.3">
      <c r="A409" s="1" t="str">
        <f>IF(OR(A408="",F408=0,A408=Refinance_Calculator!$C$16),"",A408+1)</f>
        <v/>
      </c>
      <c r="B409" s="3" t="str">
        <f t="shared" si="25"/>
        <v/>
      </c>
      <c r="C409" s="3" t="str">
        <f>IF(A409="","",(-PMT(Refinance_Calculator!$C$13/12,Refinance_Calculator!$C$16,Full_Report!$B$86,0,0)))</f>
        <v/>
      </c>
      <c r="D409" s="3" t="str">
        <f t="shared" si="26"/>
        <v/>
      </c>
      <c r="E409" s="3" t="str">
        <f>IF(A409="","",(-PPMT(Refinance_Calculator!$C$13/12,Full_Report!A409,Refinance_Calculator!$C$16,Full_Report!$B$86,0,0)))</f>
        <v/>
      </c>
      <c r="F409" s="3" t="str">
        <f t="shared" si="27"/>
        <v/>
      </c>
      <c r="G409" s="5" t="str">
        <f t="shared" si="28"/>
        <v/>
      </c>
      <c r="H409" s="5" t="str">
        <f t="shared" si="29"/>
        <v/>
      </c>
      <c r="J409"/>
      <c r="K409"/>
      <c r="L409"/>
      <c r="M409"/>
      <c r="O409"/>
      <c r="P409"/>
      <c r="Q409"/>
    </row>
    <row r="410" spans="1:17" ht="14.4" x14ac:dyDescent="0.3">
      <c r="A410" s="1" t="str">
        <f>IF(OR(A409="",F409=0,A409=Refinance_Calculator!$C$16),"",A409+1)</f>
        <v/>
      </c>
      <c r="B410" s="3" t="str">
        <f t="shared" si="25"/>
        <v/>
      </c>
      <c r="C410" s="3" t="str">
        <f>IF(A410="","",(-PMT(Refinance_Calculator!$C$13/12,Refinance_Calculator!$C$16,Full_Report!$B$86,0,0)))</f>
        <v/>
      </c>
      <c r="D410" s="3" t="str">
        <f t="shared" si="26"/>
        <v/>
      </c>
      <c r="E410" s="3" t="str">
        <f>IF(A410="","",(-PPMT(Refinance_Calculator!$C$13/12,Full_Report!A410,Refinance_Calculator!$C$16,Full_Report!$B$86,0,0)))</f>
        <v/>
      </c>
      <c r="F410" s="3" t="str">
        <f t="shared" si="27"/>
        <v/>
      </c>
      <c r="G410" s="5" t="str">
        <f t="shared" si="28"/>
        <v/>
      </c>
      <c r="H410" s="5" t="str">
        <f t="shared" si="29"/>
        <v/>
      </c>
      <c r="J410"/>
      <c r="K410"/>
      <c r="L410"/>
      <c r="M410"/>
      <c r="O410"/>
      <c r="P410"/>
      <c r="Q410"/>
    </row>
    <row r="411" spans="1:17" ht="14.4" x14ac:dyDescent="0.3">
      <c r="A411" s="1" t="str">
        <f>IF(OR(A410="",F410=0,A410=Refinance_Calculator!$C$16),"",A410+1)</f>
        <v/>
      </c>
      <c r="B411" s="3" t="str">
        <f t="shared" si="25"/>
        <v/>
      </c>
      <c r="C411" s="3" t="str">
        <f>IF(A411="","",(-PMT(Refinance_Calculator!$C$13/12,Refinance_Calculator!$C$16,Full_Report!$B$86,0,0)))</f>
        <v/>
      </c>
      <c r="D411" s="3" t="str">
        <f t="shared" si="26"/>
        <v/>
      </c>
      <c r="E411" s="3" t="str">
        <f>IF(A411="","",(-PPMT(Refinance_Calculator!$C$13/12,Full_Report!A411,Refinance_Calculator!$C$16,Full_Report!$B$86,0,0)))</f>
        <v/>
      </c>
      <c r="F411" s="3" t="str">
        <f t="shared" si="27"/>
        <v/>
      </c>
      <c r="G411" s="5" t="str">
        <f t="shared" si="28"/>
        <v/>
      </c>
      <c r="H411" s="5" t="str">
        <f t="shared" si="29"/>
        <v/>
      </c>
      <c r="J411"/>
      <c r="K411"/>
      <c r="L411"/>
      <c r="M411"/>
      <c r="O411"/>
      <c r="P411"/>
      <c r="Q411"/>
    </row>
    <row r="412" spans="1:17" ht="14.4" x14ac:dyDescent="0.3">
      <c r="A412" s="1" t="str">
        <f>IF(OR(A411="",F411=0,A411=Refinance_Calculator!$C$16),"",A411+1)</f>
        <v/>
      </c>
      <c r="B412" s="3" t="str">
        <f t="shared" si="25"/>
        <v/>
      </c>
      <c r="C412" s="3" t="str">
        <f>IF(A412="","",(-PMT(Refinance_Calculator!$C$13/12,Refinance_Calculator!$C$16,Full_Report!$B$86,0,0)))</f>
        <v/>
      </c>
      <c r="D412" s="3" t="str">
        <f t="shared" si="26"/>
        <v/>
      </c>
      <c r="E412" s="3" t="str">
        <f>IF(A412="","",(-PPMT(Refinance_Calculator!$C$13/12,Full_Report!A412,Refinance_Calculator!$C$16,Full_Report!$B$86,0,0)))</f>
        <v/>
      </c>
      <c r="F412" s="3" t="str">
        <f t="shared" si="27"/>
        <v/>
      </c>
      <c r="G412" s="5" t="str">
        <f t="shared" si="28"/>
        <v/>
      </c>
      <c r="H412" s="5" t="str">
        <f t="shared" si="29"/>
        <v/>
      </c>
      <c r="J412"/>
      <c r="K412"/>
      <c r="L412"/>
      <c r="M412"/>
      <c r="O412"/>
      <c r="P412"/>
      <c r="Q412"/>
    </row>
    <row r="413" spans="1:17" ht="14.4" x14ac:dyDescent="0.3">
      <c r="A413" s="1" t="str">
        <f>IF(OR(A412="",F412=0,A412=Refinance_Calculator!$C$16),"",A412+1)</f>
        <v/>
      </c>
      <c r="B413" s="3" t="str">
        <f t="shared" si="25"/>
        <v/>
      </c>
      <c r="C413" s="3" t="str">
        <f>IF(A413="","",(-PMT(Refinance_Calculator!$C$13/12,Refinance_Calculator!$C$16,Full_Report!$B$86,0,0)))</f>
        <v/>
      </c>
      <c r="D413" s="3" t="str">
        <f t="shared" si="26"/>
        <v/>
      </c>
      <c r="E413" s="3" t="str">
        <f>IF(A413="","",(-PPMT(Refinance_Calculator!$C$13/12,Full_Report!A413,Refinance_Calculator!$C$16,Full_Report!$B$86,0,0)))</f>
        <v/>
      </c>
      <c r="F413" s="3" t="str">
        <f t="shared" si="27"/>
        <v/>
      </c>
      <c r="G413" s="5" t="str">
        <f t="shared" si="28"/>
        <v/>
      </c>
      <c r="H413" s="5" t="str">
        <f t="shared" si="29"/>
        <v/>
      </c>
      <c r="J413"/>
      <c r="K413"/>
      <c r="L413"/>
      <c r="M413"/>
      <c r="O413"/>
      <c r="P413"/>
      <c r="Q413"/>
    </row>
    <row r="414" spans="1:17" ht="14.4" x14ac:dyDescent="0.3">
      <c r="A414" s="1" t="str">
        <f>IF(OR(A413="",F413=0,A413=Refinance_Calculator!$C$16),"",A413+1)</f>
        <v/>
      </c>
      <c r="B414" s="3" t="str">
        <f t="shared" si="25"/>
        <v/>
      </c>
      <c r="C414" s="3" t="str">
        <f>IF(A414="","",(-PMT(Refinance_Calculator!$C$13/12,Refinance_Calculator!$C$16,Full_Report!$B$86,0,0)))</f>
        <v/>
      </c>
      <c r="D414" s="3" t="str">
        <f t="shared" si="26"/>
        <v/>
      </c>
      <c r="E414" s="3" t="str">
        <f>IF(A414="","",(-PPMT(Refinance_Calculator!$C$13/12,Full_Report!A414,Refinance_Calculator!$C$16,Full_Report!$B$86,0,0)))</f>
        <v/>
      </c>
      <c r="F414" s="3" t="str">
        <f t="shared" si="27"/>
        <v/>
      </c>
      <c r="G414" s="5" t="str">
        <f t="shared" si="28"/>
        <v/>
      </c>
      <c r="H414" s="5" t="str">
        <f t="shared" si="29"/>
        <v/>
      </c>
      <c r="J414"/>
      <c r="K414"/>
      <c r="L414"/>
      <c r="M414"/>
      <c r="O414"/>
      <c r="P414"/>
      <c r="Q414"/>
    </row>
    <row r="415" spans="1:17" ht="14.4" x14ac:dyDescent="0.3">
      <c r="A415" s="1" t="str">
        <f>IF(OR(A414="",F414=0,A414=Refinance_Calculator!$C$16),"",A414+1)</f>
        <v/>
      </c>
      <c r="B415" s="3" t="str">
        <f t="shared" si="25"/>
        <v/>
      </c>
      <c r="C415" s="3" t="str">
        <f>IF(A415="","",(-PMT(Refinance_Calculator!$C$13/12,Refinance_Calculator!$C$16,Full_Report!$B$86,0,0)))</f>
        <v/>
      </c>
      <c r="D415" s="3" t="str">
        <f t="shared" si="26"/>
        <v/>
      </c>
      <c r="E415" s="3" t="str">
        <f>IF(A415="","",(-PPMT(Refinance_Calculator!$C$13/12,Full_Report!A415,Refinance_Calculator!$C$16,Full_Report!$B$86,0,0)))</f>
        <v/>
      </c>
      <c r="F415" s="3" t="str">
        <f t="shared" si="27"/>
        <v/>
      </c>
      <c r="G415" s="5" t="str">
        <f t="shared" si="28"/>
        <v/>
      </c>
      <c r="H415" s="5" t="str">
        <f t="shared" si="29"/>
        <v/>
      </c>
      <c r="J415"/>
      <c r="K415"/>
      <c r="L415"/>
      <c r="M415"/>
      <c r="O415"/>
      <c r="P415"/>
      <c r="Q415"/>
    </row>
    <row r="416" spans="1:17" ht="14.4" x14ac:dyDescent="0.3">
      <c r="A416" s="1" t="str">
        <f>IF(OR(A415="",F415=0,A415=Refinance_Calculator!$C$16),"",A415+1)</f>
        <v/>
      </c>
      <c r="B416" s="3" t="str">
        <f t="shared" si="25"/>
        <v/>
      </c>
      <c r="C416" s="3" t="str">
        <f>IF(A416="","",(-PMT(Refinance_Calculator!$C$13/12,Refinance_Calculator!$C$16,Full_Report!$B$86,0,0)))</f>
        <v/>
      </c>
      <c r="D416" s="3" t="str">
        <f t="shared" si="26"/>
        <v/>
      </c>
      <c r="E416" s="3" t="str">
        <f>IF(A416="","",(-PPMT(Refinance_Calculator!$C$13/12,Full_Report!A416,Refinance_Calculator!$C$16,Full_Report!$B$86,0,0)))</f>
        <v/>
      </c>
      <c r="F416" s="3" t="str">
        <f t="shared" si="27"/>
        <v/>
      </c>
      <c r="G416" s="5" t="str">
        <f t="shared" si="28"/>
        <v/>
      </c>
      <c r="H416" s="5" t="str">
        <f t="shared" si="29"/>
        <v/>
      </c>
      <c r="J416"/>
      <c r="K416"/>
      <c r="L416"/>
      <c r="M416"/>
      <c r="O416"/>
      <c r="P416"/>
      <c r="Q416"/>
    </row>
    <row r="417" spans="1:17" ht="14.4" x14ac:dyDescent="0.3">
      <c r="A417" s="1" t="str">
        <f>IF(OR(A416="",F416=0,A416=Refinance_Calculator!$C$16),"",A416+1)</f>
        <v/>
      </c>
      <c r="B417" s="3" t="str">
        <f t="shared" si="25"/>
        <v/>
      </c>
      <c r="C417" s="3" t="str">
        <f>IF(A417="","",(-PMT(Refinance_Calculator!$C$13/12,Refinance_Calculator!$C$16,Full_Report!$B$86,0,0)))</f>
        <v/>
      </c>
      <c r="D417" s="3" t="str">
        <f t="shared" si="26"/>
        <v/>
      </c>
      <c r="E417" s="3" t="str">
        <f>IF(A417="","",(-PPMT(Refinance_Calculator!$C$13/12,Full_Report!A417,Refinance_Calculator!$C$16,Full_Report!$B$86,0,0)))</f>
        <v/>
      </c>
      <c r="F417" s="3" t="str">
        <f t="shared" si="27"/>
        <v/>
      </c>
      <c r="G417" s="5" t="str">
        <f t="shared" si="28"/>
        <v/>
      </c>
      <c r="H417" s="5" t="str">
        <f t="shared" si="29"/>
        <v/>
      </c>
      <c r="J417"/>
      <c r="K417"/>
      <c r="L417"/>
      <c r="M417"/>
      <c r="O417"/>
      <c r="P417"/>
      <c r="Q417"/>
    </row>
    <row r="418" spans="1:17" ht="14.4" x14ac:dyDescent="0.3">
      <c r="A418" s="1" t="str">
        <f>IF(OR(A417="",F417=0,A417=Refinance_Calculator!$C$16),"",A417+1)</f>
        <v/>
      </c>
      <c r="B418" s="3" t="str">
        <f t="shared" ref="B418:B481" si="30">IF(A418="","",(F417))</f>
        <v/>
      </c>
      <c r="C418" s="3" t="str">
        <f>IF(A418="","",(-PMT(Refinance_Calculator!$C$13/12,Refinance_Calculator!$C$16,Full_Report!$B$86,0,0)))</f>
        <v/>
      </c>
      <c r="D418" s="3" t="str">
        <f t="shared" ref="D418:D481" si="31">+IF(A418="","",(C418-E418))</f>
        <v/>
      </c>
      <c r="E418" s="3" t="str">
        <f>IF(A418="","",(-PPMT(Refinance_Calculator!$C$13/12,Full_Report!A418,Refinance_Calculator!$C$16,Full_Report!$B$86,0,0)))</f>
        <v/>
      </c>
      <c r="F418" s="3" t="str">
        <f t="shared" ref="F418:F481" si="32">IF(A418="","",(B418-E418))</f>
        <v/>
      </c>
      <c r="G418" s="5" t="str">
        <f t="shared" si="28"/>
        <v/>
      </c>
      <c r="H418" s="5" t="str">
        <f t="shared" si="29"/>
        <v/>
      </c>
      <c r="J418"/>
      <c r="K418"/>
      <c r="L418"/>
      <c r="M418"/>
      <c r="O418"/>
      <c r="P418"/>
      <c r="Q418"/>
    </row>
    <row r="419" spans="1:17" ht="14.4" x14ac:dyDescent="0.3">
      <c r="A419" s="1" t="str">
        <f>IF(OR(A418="",F418=0,A418=Refinance_Calculator!$C$16),"",A418+1)</f>
        <v/>
      </c>
      <c r="B419" s="3" t="str">
        <f t="shared" si="30"/>
        <v/>
      </c>
      <c r="C419" s="3" t="str">
        <f>IF(A419="","",(-PMT(Refinance_Calculator!$C$13/12,Refinance_Calculator!$C$16,Full_Report!$B$86,0,0)))</f>
        <v/>
      </c>
      <c r="D419" s="3" t="str">
        <f t="shared" si="31"/>
        <v/>
      </c>
      <c r="E419" s="3" t="str">
        <f>IF(A419="","",(-PPMT(Refinance_Calculator!$C$13/12,Full_Report!A419,Refinance_Calculator!$C$16,Full_Report!$B$86,0,0)))</f>
        <v/>
      </c>
      <c r="F419" s="3" t="str">
        <f t="shared" si="32"/>
        <v/>
      </c>
      <c r="G419" s="5" t="str">
        <f t="shared" si="28"/>
        <v/>
      </c>
      <c r="H419" s="5" t="str">
        <f t="shared" si="29"/>
        <v/>
      </c>
      <c r="J419"/>
      <c r="K419"/>
      <c r="L419"/>
      <c r="M419"/>
      <c r="O419"/>
      <c r="P419"/>
      <c r="Q419"/>
    </row>
    <row r="420" spans="1:17" ht="14.4" x14ac:dyDescent="0.3">
      <c r="A420" s="1" t="str">
        <f>IF(OR(A419="",F419=0,A419=Refinance_Calculator!$C$16),"",A419+1)</f>
        <v/>
      </c>
      <c r="B420" s="3" t="str">
        <f t="shared" si="30"/>
        <v/>
      </c>
      <c r="C420" s="3" t="str">
        <f>IF(A420="","",(-PMT(Refinance_Calculator!$C$13/12,Refinance_Calculator!$C$16,Full_Report!$B$86,0,0)))</f>
        <v/>
      </c>
      <c r="D420" s="3" t="str">
        <f t="shared" si="31"/>
        <v/>
      </c>
      <c r="E420" s="3" t="str">
        <f>IF(A420="","",(-PPMT(Refinance_Calculator!$C$13/12,Full_Report!A420,Refinance_Calculator!$C$16,Full_Report!$B$86,0,0)))</f>
        <v/>
      </c>
      <c r="F420" s="3" t="str">
        <f t="shared" si="32"/>
        <v/>
      </c>
      <c r="G420" s="5" t="str">
        <f t="shared" si="28"/>
        <v/>
      </c>
      <c r="H420" s="5" t="str">
        <f t="shared" si="29"/>
        <v/>
      </c>
      <c r="J420"/>
      <c r="K420"/>
      <c r="L420"/>
      <c r="M420"/>
      <c r="O420"/>
      <c r="P420"/>
      <c r="Q420"/>
    </row>
    <row r="421" spans="1:17" ht="14.4" x14ac:dyDescent="0.3">
      <c r="A421" s="1" t="str">
        <f>IF(OR(A420="",F420=0,A420=Refinance_Calculator!$C$16),"",A420+1)</f>
        <v/>
      </c>
      <c r="B421" s="3" t="str">
        <f t="shared" si="30"/>
        <v/>
      </c>
      <c r="C421" s="3" t="str">
        <f>IF(A421="","",(-PMT(Refinance_Calculator!$C$13/12,Refinance_Calculator!$C$16,Full_Report!$B$86,0,0)))</f>
        <v/>
      </c>
      <c r="D421" s="3" t="str">
        <f t="shared" si="31"/>
        <v/>
      </c>
      <c r="E421" s="3" t="str">
        <f>IF(A421="","",(-PPMT(Refinance_Calculator!$C$13/12,Full_Report!A421,Refinance_Calculator!$C$16,Full_Report!$B$86,0,0)))</f>
        <v/>
      </c>
      <c r="F421" s="3" t="str">
        <f t="shared" si="32"/>
        <v/>
      </c>
      <c r="G421" s="5" t="str">
        <f t="shared" si="28"/>
        <v/>
      </c>
      <c r="H421" s="5" t="str">
        <f t="shared" si="29"/>
        <v/>
      </c>
      <c r="J421"/>
      <c r="K421"/>
      <c r="L421"/>
      <c r="M421"/>
      <c r="O421"/>
      <c r="P421"/>
      <c r="Q421"/>
    </row>
    <row r="422" spans="1:17" ht="14.4" x14ac:dyDescent="0.3">
      <c r="A422" s="1" t="str">
        <f>IF(OR(A421="",F421=0,A421=Refinance_Calculator!$C$16),"",A421+1)</f>
        <v/>
      </c>
      <c r="B422" s="3" t="str">
        <f t="shared" si="30"/>
        <v/>
      </c>
      <c r="C422" s="3" t="str">
        <f>IF(A422="","",(-PMT(Refinance_Calculator!$C$13/12,Refinance_Calculator!$C$16,Full_Report!$B$86,0,0)))</f>
        <v/>
      </c>
      <c r="D422" s="3" t="str">
        <f t="shared" si="31"/>
        <v/>
      </c>
      <c r="E422" s="3" t="str">
        <f>IF(A422="","",(-PPMT(Refinance_Calculator!$C$13/12,Full_Report!A422,Refinance_Calculator!$C$16,Full_Report!$B$86,0,0)))</f>
        <v/>
      </c>
      <c r="F422" s="3" t="str">
        <f t="shared" si="32"/>
        <v/>
      </c>
      <c r="G422" s="5" t="str">
        <f t="shared" si="28"/>
        <v/>
      </c>
      <c r="H422" s="5" t="str">
        <f t="shared" si="29"/>
        <v/>
      </c>
      <c r="J422"/>
      <c r="K422"/>
      <c r="L422"/>
      <c r="M422"/>
      <c r="O422"/>
      <c r="P422"/>
      <c r="Q422"/>
    </row>
    <row r="423" spans="1:17" ht="14.4" x14ac:dyDescent="0.3">
      <c r="A423" s="1" t="str">
        <f>IF(OR(A422="",F422=0,A422=Refinance_Calculator!$C$16),"",A422+1)</f>
        <v/>
      </c>
      <c r="B423" s="3" t="str">
        <f t="shared" si="30"/>
        <v/>
      </c>
      <c r="C423" s="3" t="str">
        <f>IF(A423="","",(-PMT(Refinance_Calculator!$C$13/12,Refinance_Calculator!$C$16,Full_Report!$B$86,0,0)))</f>
        <v/>
      </c>
      <c r="D423" s="3" t="str">
        <f t="shared" si="31"/>
        <v/>
      </c>
      <c r="E423" s="3" t="str">
        <f>IF(A423="","",(-PPMT(Refinance_Calculator!$C$13/12,Full_Report!A423,Refinance_Calculator!$C$16,Full_Report!$B$86,0,0)))</f>
        <v/>
      </c>
      <c r="F423" s="3" t="str">
        <f t="shared" si="32"/>
        <v/>
      </c>
      <c r="G423" s="5" t="str">
        <f t="shared" si="28"/>
        <v/>
      </c>
      <c r="H423" s="5" t="str">
        <f t="shared" si="29"/>
        <v/>
      </c>
      <c r="J423"/>
      <c r="K423"/>
      <c r="L423"/>
      <c r="M423"/>
      <c r="O423"/>
      <c r="P423"/>
      <c r="Q423"/>
    </row>
    <row r="424" spans="1:17" ht="14.4" x14ac:dyDescent="0.3">
      <c r="A424" s="1" t="str">
        <f>IF(OR(A423="",F423=0,A423=Refinance_Calculator!$C$16),"",A423+1)</f>
        <v/>
      </c>
      <c r="B424" s="3" t="str">
        <f t="shared" si="30"/>
        <v/>
      </c>
      <c r="C424" s="3" t="str">
        <f>IF(A424="","",(-PMT(Refinance_Calculator!$C$13/12,Refinance_Calculator!$C$16,Full_Report!$B$86,0,0)))</f>
        <v/>
      </c>
      <c r="D424" s="3" t="str">
        <f t="shared" si="31"/>
        <v/>
      </c>
      <c r="E424" s="3" t="str">
        <f>IF(A424="","",(-PPMT(Refinance_Calculator!$C$13/12,Full_Report!A424,Refinance_Calculator!$C$16,Full_Report!$B$86,0,0)))</f>
        <v/>
      </c>
      <c r="F424" s="3" t="str">
        <f t="shared" si="32"/>
        <v/>
      </c>
      <c r="G424" s="5" t="str">
        <f t="shared" si="28"/>
        <v/>
      </c>
      <c r="H424" s="5" t="str">
        <f t="shared" si="29"/>
        <v/>
      </c>
      <c r="J424"/>
      <c r="K424"/>
      <c r="L424"/>
      <c r="M424"/>
      <c r="O424"/>
      <c r="P424"/>
      <c r="Q424"/>
    </row>
    <row r="425" spans="1:17" ht="14.4" x14ac:dyDescent="0.3">
      <c r="A425" s="1" t="str">
        <f>IF(OR(A424="",F424=0,A424=Refinance_Calculator!$C$16),"",A424+1)</f>
        <v/>
      </c>
      <c r="B425" s="3" t="str">
        <f t="shared" si="30"/>
        <v/>
      </c>
      <c r="C425" s="3" t="str">
        <f>IF(A425="","",(-PMT(Refinance_Calculator!$C$13/12,Refinance_Calculator!$C$16,Full_Report!$B$86,0,0)))</f>
        <v/>
      </c>
      <c r="D425" s="3" t="str">
        <f t="shared" si="31"/>
        <v/>
      </c>
      <c r="E425" s="3" t="str">
        <f>IF(A425="","",(-PPMT(Refinance_Calculator!$C$13/12,Full_Report!A425,Refinance_Calculator!$C$16,Full_Report!$B$86,0,0)))</f>
        <v/>
      </c>
      <c r="F425" s="3" t="str">
        <f t="shared" si="32"/>
        <v/>
      </c>
      <c r="G425" s="5" t="str">
        <f t="shared" si="28"/>
        <v/>
      </c>
      <c r="H425" s="5" t="str">
        <f t="shared" si="29"/>
        <v/>
      </c>
      <c r="J425"/>
      <c r="K425"/>
      <c r="L425"/>
      <c r="M425"/>
      <c r="O425"/>
      <c r="P425"/>
      <c r="Q425"/>
    </row>
    <row r="426" spans="1:17" ht="14.4" x14ac:dyDescent="0.3">
      <c r="A426" s="1" t="str">
        <f>IF(OR(A425="",F425=0,A425=Refinance_Calculator!$C$16),"",A425+1)</f>
        <v/>
      </c>
      <c r="B426" s="3" t="str">
        <f t="shared" si="30"/>
        <v/>
      </c>
      <c r="C426" s="3" t="str">
        <f>IF(A426="","",(-PMT(Refinance_Calculator!$C$13/12,Refinance_Calculator!$C$16,Full_Report!$B$86,0,0)))</f>
        <v/>
      </c>
      <c r="D426" s="3" t="str">
        <f t="shared" si="31"/>
        <v/>
      </c>
      <c r="E426" s="3" t="str">
        <f>IF(A426="","",(-PPMT(Refinance_Calculator!$C$13/12,Full_Report!A426,Refinance_Calculator!$C$16,Full_Report!$B$86,0,0)))</f>
        <v/>
      </c>
      <c r="F426" s="3" t="str">
        <f t="shared" si="32"/>
        <v/>
      </c>
      <c r="G426" s="5" t="str">
        <f t="shared" si="28"/>
        <v/>
      </c>
      <c r="H426" s="5" t="str">
        <f t="shared" si="29"/>
        <v/>
      </c>
      <c r="J426"/>
      <c r="K426"/>
      <c r="L426"/>
      <c r="M426"/>
      <c r="O426"/>
      <c r="P426"/>
      <c r="Q426"/>
    </row>
    <row r="427" spans="1:17" ht="14.4" x14ac:dyDescent="0.3">
      <c r="A427" s="1" t="str">
        <f>IF(OR(A426="",F426=0,A426=Refinance_Calculator!$C$16),"",A426+1)</f>
        <v/>
      </c>
      <c r="B427" s="3" t="str">
        <f t="shared" si="30"/>
        <v/>
      </c>
      <c r="C427" s="3" t="str">
        <f>IF(A427="","",(-PMT(Refinance_Calculator!$C$13/12,Refinance_Calculator!$C$16,Full_Report!$B$86,0,0)))</f>
        <v/>
      </c>
      <c r="D427" s="3" t="str">
        <f t="shared" si="31"/>
        <v/>
      </c>
      <c r="E427" s="3" t="str">
        <f>IF(A427="","",(-PPMT(Refinance_Calculator!$C$13/12,Full_Report!A427,Refinance_Calculator!$C$16,Full_Report!$B$86,0,0)))</f>
        <v/>
      </c>
      <c r="F427" s="3" t="str">
        <f t="shared" si="32"/>
        <v/>
      </c>
      <c r="G427" s="5" t="str">
        <f t="shared" si="28"/>
        <v/>
      </c>
      <c r="H427" s="5" t="str">
        <f t="shared" si="29"/>
        <v/>
      </c>
      <c r="J427"/>
      <c r="K427"/>
      <c r="L427"/>
      <c r="M427"/>
      <c r="O427"/>
      <c r="P427"/>
      <c r="Q427"/>
    </row>
    <row r="428" spans="1:17" ht="14.4" x14ac:dyDescent="0.3">
      <c r="A428" s="1" t="str">
        <f>IF(OR(A427="",F427=0,A427=Refinance_Calculator!$C$16),"",A427+1)</f>
        <v/>
      </c>
      <c r="B428" s="3" t="str">
        <f t="shared" si="30"/>
        <v/>
      </c>
      <c r="C428" s="3" t="str">
        <f>IF(A428="","",(-PMT(Refinance_Calculator!$C$13/12,Refinance_Calculator!$C$16,Full_Report!$B$86,0,0)))</f>
        <v/>
      </c>
      <c r="D428" s="3" t="str">
        <f t="shared" si="31"/>
        <v/>
      </c>
      <c r="E428" s="3" t="str">
        <f>IF(A428="","",(-PPMT(Refinance_Calculator!$C$13/12,Full_Report!A428,Refinance_Calculator!$C$16,Full_Report!$B$86,0,0)))</f>
        <v/>
      </c>
      <c r="F428" s="3" t="str">
        <f t="shared" si="32"/>
        <v/>
      </c>
      <c r="G428" s="5" t="str">
        <f t="shared" si="28"/>
        <v/>
      </c>
      <c r="H428" s="5" t="str">
        <f t="shared" si="29"/>
        <v/>
      </c>
      <c r="J428"/>
      <c r="K428"/>
      <c r="L428"/>
      <c r="M428"/>
      <c r="O428"/>
      <c r="P428"/>
      <c r="Q428"/>
    </row>
    <row r="429" spans="1:17" ht="14.4" x14ac:dyDescent="0.3">
      <c r="A429" s="1" t="str">
        <f>IF(OR(A428="",F428=0,A428=Refinance_Calculator!$C$16),"",A428+1)</f>
        <v/>
      </c>
      <c r="B429" s="3" t="str">
        <f t="shared" si="30"/>
        <v/>
      </c>
      <c r="C429" s="3" t="str">
        <f>IF(A429="","",(-PMT(Refinance_Calculator!$C$13/12,Refinance_Calculator!$C$16,Full_Report!$B$86,0,0)))</f>
        <v/>
      </c>
      <c r="D429" s="3" t="str">
        <f t="shared" si="31"/>
        <v/>
      </c>
      <c r="E429" s="3" t="str">
        <f>IF(A429="","",(-PPMT(Refinance_Calculator!$C$13/12,Full_Report!A429,Refinance_Calculator!$C$16,Full_Report!$B$86,0,0)))</f>
        <v/>
      </c>
      <c r="F429" s="3" t="str">
        <f t="shared" si="32"/>
        <v/>
      </c>
      <c r="G429" s="5" t="str">
        <f t="shared" si="28"/>
        <v/>
      </c>
      <c r="H429" s="5" t="str">
        <f t="shared" si="29"/>
        <v/>
      </c>
      <c r="J429"/>
      <c r="K429"/>
      <c r="L429"/>
      <c r="M429"/>
      <c r="O429"/>
      <c r="P429"/>
      <c r="Q429"/>
    </row>
    <row r="430" spans="1:17" ht="14.4" x14ac:dyDescent="0.3">
      <c r="A430" s="1" t="str">
        <f>IF(OR(A429="",F429=0,A429=Refinance_Calculator!$C$16),"",A429+1)</f>
        <v/>
      </c>
      <c r="B430" s="3" t="str">
        <f t="shared" si="30"/>
        <v/>
      </c>
      <c r="C430" s="3" t="str">
        <f>IF(A430="","",(-PMT(Refinance_Calculator!$C$13/12,Refinance_Calculator!$C$16,Full_Report!$B$86,0,0)))</f>
        <v/>
      </c>
      <c r="D430" s="3" t="str">
        <f t="shared" si="31"/>
        <v/>
      </c>
      <c r="E430" s="3" t="str">
        <f>IF(A430="","",(-PPMT(Refinance_Calculator!$C$13/12,Full_Report!A430,Refinance_Calculator!$C$16,Full_Report!$B$86,0,0)))</f>
        <v/>
      </c>
      <c r="F430" s="3" t="str">
        <f t="shared" si="32"/>
        <v/>
      </c>
      <c r="G430" s="5" t="str">
        <f t="shared" si="28"/>
        <v/>
      </c>
      <c r="H430" s="5" t="str">
        <f t="shared" si="29"/>
        <v/>
      </c>
      <c r="J430"/>
      <c r="K430"/>
      <c r="L430"/>
      <c r="M430"/>
      <c r="O430"/>
      <c r="P430"/>
      <c r="Q430"/>
    </row>
    <row r="431" spans="1:17" ht="14.4" x14ac:dyDescent="0.3">
      <c r="A431" s="1" t="str">
        <f>IF(OR(A430="",F430=0,A430=Refinance_Calculator!$C$16),"",A430+1)</f>
        <v/>
      </c>
      <c r="B431" s="3" t="str">
        <f t="shared" si="30"/>
        <v/>
      </c>
      <c r="C431" s="3" t="str">
        <f>IF(A431="","",(-PMT(Refinance_Calculator!$C$13/12,Refinance_Calculator!$C$16,Full_Report!$B$86,0,0)))</f>
        <v/>
      </c>
      <c r="D431" s="3" t="str">
        <f t="shared" si="31"/>
        <v/>
      </c>
      <c r="E431" s="3" t="str">
        <f>IF(A431="","",(-PPMT(Refinance_Calculator!$C$13/12,Full_Report!A431,Refinance_Calculator!$C$16,Full_Report!$B$86,0,0)))</f>
        <v/>
      </c>
      <c r="F431" s="3" t="str">
        <f t="shared" si="32"/>
        <v/>
      </c>
      <c r="G431" s="5" t="str">
        <f t="shared" si="28"/>
        <v/>
      </c>
      <c r="H431" s="5" t="str">
        <f t="shared" si="29"/>
        <v/>
      </c>
      <c r="J431"/>
      <c r="K431"/>
      <c r="L431"/>
      <c r="M431"/>
      <c r="O431"/>
      <c r="P431"/>
      <c r="Q431"/>
    </row>
    <row r="432" spans="1:17" ht="14.4" x14ac:dyDescent="0.3">
      <c r="A432" s="1" t="str">
        <f>IF(OR(A431="",F431=0,A431=Refinance_Calculator!$C$16),"",A431+1)</f>
        <v/>
      </c>
      <c r="B432" s="3" t="str">
        <f t="shared" si="30"/>
        <v/>
      </c>
      <c r="C432" s="3" t="str">
        <f>IF(A432="","",(-PMT(Refinance_Calculator!$C$13/12,Refinance_Calculator!$C$16,Full_Report!$B$86,0,0)))</f>
        <v/>
      </c>
      <c r="D432" s="3" t="str">
        <f t="shared" si="31"/>
        <v/>
      </c>
      <c r="E432" s="3" t="str">
        <f>IF(A432="","",(-PPMT(Refinance_Calculator!$C$13/12,Full_Report!A432,Refinance_Calculator!$C$16,Full_Report!$B$86,0,0)))</f>
        <v/>
      </c>
      <c r="F432" s="3" t="str">
        <f t="shared" si="32"/>
        <v/>
      </c>
      <c r="G432" s="5" t="str">
        <f t="shared" si="28"/>
        <v/>
      </c>
      <c r="H432" s="5" t="str">
        <f t="shared" si="29"/>
        <v/>
      </c>
      <c r="J432"/>
      <c r="K432"/>
      <c r="L432"/>
      <c r="M432"/>
      <c r="O432"/>
      <c r="P432"/>
      <c r="Q432"/>
    </row>
    <row r="433" spans="1:17" ht="14.4" x14ac:dyDescent="0.3">
      <c r="A433" s="1" t="str">
        <f>IF(OR(A432="",F432=0,A432=Refinance_Calculator!$C$16),"",A432+1)</f>
        <v/>
      </c>
      <c r="B433" s="3" t="str">
        <f t="shared" si="30"/>
        <v/>
      </c>
      <c r="C433" s="3" t="str">
        <f>IF(A433="","",(-PMT(Refinance_Calculator!$C$13/12,Refinance_Calculator!$C$16,Full_Report!$B$86,0,0)))</f>
        <v/>
      </c>
      <c r="D433" s="3" t="str">
        <f t="shared" si="31"/>
        <v/>
      </c>
      <c r="E433" s="3" t="str">
        <f>IF(A433="","",(-PPMT(Refinance_Calculator!$C$13/12,Full_Report!A433,Refinance_Calculator!$C$16,Full_Report!$B$86,0,0)))</f>
        <v/>
      </c>
      <c r="F433" s="3" t="str">
        <f t="shared" si="32"/>
        <v/>
      </c>
      <c r="G433" s="5" t="str">
        <f t="shared" si="28"/>
        <v/>
      </c>
      <c r="H433" s="5" t="str">
        <f t="shared" si="29"/>
        <v/>
      </c>
      <c r="J433"/>
      <c r="K433"/>
      <c r="L433"/>
      <c r="M433"/>
      <c r="O433"/>
      <c r="P433"/>
      <c r="Q433"/>
    </row>
    <row r="434" spans="1:17" ht="14.4" x14ac:dyDescent="0.3">
      <c r="A434" s="1" t="str">
        <f>IF(OR(A433="",F433=0,A433=Refinance_Calculator!$C$16),"",A433+1)</f>
        <v/>
      </c>
      <c r="B434" s="3" t="str">
        <f t="shared" si="30"/>
        <v/>
      </c>
      <c r="C434" s="3" t="str">
        <f>IF(A434="","",(-PMT(Refinance_Calculator!$C$13/12,Refinance_Calculator!$C$16,Full_Report!$B$86,0,0)))</f>
        <v/>
      </c>
      <c r="D434" s="3" t="str">
        <f t="shared" si="31"/>
        <v/>
      </c>
      <c r="E434" s="3" t="str">
        <f>IF(A434="","",(-PPMT(Refinance_Calculator!$C$13/12,Full_Report!A434,Refinance_Calculator!$C$16,Full_Report!$B$86,0,0)))</f>
        <v/>
      </c>
      <c r="F434" s="3" t="str">
        <f t="shared" si="32"/>
        <v/>
      </c>
      <c r="G434" s="5" t="str">
        <f t="shared" si="28"/>
        <v/>
      </c>
      <c r="H434" s="5" t="str">
        <f t="shared" si="29"/>
        <v/>
      </c>
      <c r="J434"/>
      <c r="K434"/>
      <c r="L434"/>
      <c r="M434"/>
      <c r="O434"/>
      <c r="P434"/>
      <c r="Q434"/>
    </row>
    <row r="435" spans="1:17" ht="14.4" x14ac:dyDescent="0.3">
      <c r="A435" s="1" t="str">
        <f>IF(OR(A434="",F434=0,A434=Refinance_Calculator!$C$16),"",A434+1)</f>
        <v/>
      </c>
      <c r="B435" s="3" t="str">
        <f t="shared" si="30"/>
        <v/>
      </c>
      <c r="C435" s="3" t="str">
        <f>IF(A435="","",(-PMT(Refinance_Calculator!$C$13/12,Refinance_Calculator!$C$16,Full_Report!$B$86,0,0)))</f>
        <v/>
      </c>
      <c r="D435" s="3" t="str">
        <f t="shared" si="31"/>
        <v/>
      </c>
      <c r="E435" s="3" t="str">
        <f>IF(A435="","",(-PPMT(Refinance_Calculator!$C$13/12,Full_Report!A435,Refinance_Calculator!$C$16,Full_Report!$B$86,0,0)))</f>
        <v/>
      </c>
      <c r="F435" s="3" t="str">
        <f t="shared" si="32"/>
        <v/>
      </c>
      <c r="G435" s="5" t="str">
        <f t="shared" si="28"/>
        <v/>
      </c>
      <c r="H435" s="5" t="str">
        <f t="shared" si="29"/>
        <v/>
      </c>
      <c r="J435"/>
      <c r="K435"/>
      <c r="L435"/>
      <c r="M435"/>
      <c r="O435"/>
      <c r="P435"/>
      <c r="Q435"/>
    </row>
    <row r="436" spans="1:17" ht="14.4" x14ac:dyDescent="0.3">
      <c r="A436" s="1" t="str">
        <f>IF(OR(A435="",F435=0,A435=Refinance_Calculator!$C$16),"",A435+1)</f>
        <v/>
      </c>
      <c r="B436" s="3" t="str">
        <f t="shared" si="30"/>
        <v/>
      </c>
      <c r="C436" s="3" t="str">
        <f>IF(A436="","",(-PMT(Refinance_Calculator!$C$13/12,Refinance_Calculator!$C$16,Full_Report!$B$86,0,0)))</f>
        <v/>
      </c>
      <c r="D436" s="3" t="str">
        <f t="shared" si="31"/>
        <v/>
      </c>
      <c r="E436" s="3" t="str">
        <f>IF(A436="","",(-PPMT(Refinance_Calculator!$C$13/12,Full_Report!A436,Refinance_Calculator!$C$16,Full_Report!$B$86,0,0)))</f>
        <v/>
      </c>
      <c r="F436" s="3" t="str">
        <f t="shared" si="32"/>
        <v/>
      </c>
      <c r="G436" s="5" t="str">
        <f t="shared" si="28"/>
        <v/>
      </c>
      <c r="H436" s="5" t="str">
        <f t="shared" si="29"/>
        <v/>
      </c>
      <c r="J436"/>
      <c r="K436"/>
      <c r="L436"/>
      <c r="M436"/>
      <c r="O436"/>
      <c r="P436"/>
      <c r="Q436"/>
    </row>
    <row r="437" spans="1:17" ht="14.4" x14ac:dyDescent="0.3">
      <c r="A437" s="1" t="str">
        <f>IF(OR(A436="",F436=0,A436=Refinance_Calculator!$C$16),"",A436+1)</f>
        <v/>
      </c>
      <c r="B437" s="3" t="str">
        <f t="shared" si="30"/>
        <v/>
      </c>
      <c r="C437" s="3" t="str">
        <f>IF(A437="","",(-PMT(Refinance_Calculator!$C$13/12,Refinance_Calculator!$C$16,Full_Report!$B$86,0,0)))</f>
        <v/>
      </c>
      <c r="D437" s="3" t="str">
        <f t="shared" si="31"/>
        <v/>
      </c>
      <c r="E437" s="3" t="str">
        <f>IF(A437="","",(-PPMT(Refinance_Calculator!$C$13/12,Full_Report!A437,Refinance_Calculator!$C$16,Full_Report!$B$86,0,0)))</f>
        <v/>
      </c>
      <c r="F437" s="3" t="str">
        <f t="shared" si="32"/>
        <v/>
      </c>
      <c r="G437" s="5" t="str">
        <f t="shared" si="28"/>
        <v/>
      </c>
      <c r="H437" s="5" t="str">
        <f t="shared" si="29"/>
        <v/>
      </c>
      <c r="J437"/>
      <c r="K437"/>
      <c r="L437"/>
      <c r="M437"/>
      <c r="O437"/>
      <c r="P437"/>
      <c r="Q437"/>
    </row>
    <row r="438" spans="1:17" ht="14.4" x14ac:dyDescent="0.3">
      <c r="A438" s="1" t="str">
        <f>IF(OR(A437="",F437=0,A437=Refinance_Calculator!$C$16),"",A437+1)</f>
        <v/>
      </c>
      <c r="B438" s="3" t="str">
        <f t="shared" si="30"/>
        <v/>
      </c>
      <c r="C438" s="3" t="str">
        <f>IF(A438="","",(-PMT(Refinance_Calculator!$C$13/12,Refinance_Calculator!$C$16,Full_Report!$B$86,0,0)))</f>
        <v/>
      </c>
      <c r="D438" s="3" t="str">
        <f t="shared" si="31"/>
        <v/>
      </c>
      <c r="E438" s="3" t="str">
        <f>IF(A438="","",(-PPMT(Refinance_Calculator!$C$13/12,Full_Report!A438,Refinance_Calculator!$C$16,Full_Report!$B$86,0,0)))</f>
        <v/>
      </c>
      <c r="F438" s="3" t="str">
        <f t="shared" si="32"/>
        <v/>
      </c>
      <c r="G438" s="5" t="str">
        <f t="shared" si="28"/>
        <v/>
      </c>
      <c r="H438" s="5" t="str">
        <f t="shared" si="29"/>
        <v/>
      </c>
      <c r="J438"/>
      <c r="K438"/>
      <c r="L438"/>
      <c r="M438"/>
      <c r="O438"/>
      <c r="P438"/>
      <c r="Q438"/>
    </row>
    <row r="439" spans="1:17" ht="14.4" x14ac:dyDescent="0.3">
      <c r="A439" s="1" t="str">
        <f>IF(OR(A438="",F438=0,A438=Refinance_Calculator!$C$16),"",A438+1)</f>
        <v/>
      </c>
      <c r="B439" s="3" t="str">
        <f t="shared" si="30"/>
        <v/>
      </c>
      <c r="C439" s="3" t="str">
        <f>IF(A439="","",(-PMT(Refinance_Calculator!$C$13/12,Refinance_Calculator!$C$16,Full_Report!$B$86,0,0)))</f>
        <v/>
      </c>
      <c r="D439" s="3" t="str">
        <f t="shared" si="31"/>
        <v/>
      </c>
      <c r="E439" s="3" t="str">
        <f>IF(A439="","",(-PPMT(Refinance_Calculator!$C$13/12,Full_Report!A439,Refinance_Calculator!$C$16,Full_Report!$B$86,0,0)))</f>
        <v/>
      </c>
      <c r="F439" s="3" t="str">
        <f t="shared" si="32"/>
        <v/>
      </c>
      <c r="G439" s="5" t="str">
        <f t="shared" si="28"/>
        <v/>
      </c>
      <c r="H439" s="5" t="str">
        <f t="shared" si="29"/>
        <v/>
      </c>
      <c r="J439"/>
      <c r="K439"/>
      <c r="L439"/>
      <c r="M439"/>
      <c r="O439"/>
      <c r="P439"/>
      <c r="Q439"/>
    </row>
    <row r="440" spans="1:17" ht="14.4" x14ac:dyDescent="0.3">
      <c r="A440" s="1" t="str">
        <f>IF(OR(A439="",F439=0,A439=Refinance_Calculator!$C$16),"",A439+1)</f>
        <v/>
      </c>
      <c r="B440" s="3" t="str">
        <f t="shared" si="30"/>
        <v/>
      </c>
      <c r="C440" s="3" t="str">
        <f>IF(A440="","",(-PMT(Refinance_Calculator!$C$13/12,Refinance_Calculator!$C$16,Full_Report!$B$86,0,0)))</f>
        <v/>
      </c>
      <c r="D440" s="3" t="str">
        <f t="shared" si="31"/>
        <v/>
      </c>
      <c r="E440" s="3" t="str">
        <f>IF(A440="","",(-PPMT(Refinance_Calculator!$C$13/12,Full_Report!A440,Refinance_Calculator!$C$16,Full_Report!$B$86,0,0)))</f>
        <v/>
      </c>
      <c r="F440" s="3" t="str">
        <f t="shared" si="32"/>
        <v/>
      </c>
      <c r="G440" s="5" t="str">
        <f t="shared" si="28"/>
        <v/>
      </c>
      <c r="H440" s="5" t="str">
        <f t="shared" si="29"/>
        <v/>
      </c>
      <c r="J440"/>
      <c r="K440"/>
      <c r="L440"/>
      <c r="M440"/>
      <c r="O440"/>
      <c r="P440"/>
      <c r="Q440"/>
    </row>
    <row r="441" spans="1:17" ht="14.4" x14ac:dyDescent="0.3">
      <c r="A441" s="1" t="str">
        <f>IF(OR(A440="",F440=0,A440=Refinance_Calculator!$C$16),"",A440+1)</f>
        <v/>
      </c>
      <c r="B441" s="3" t="str">
        <f t="shared" si="30"/>
        <v/>
      </c>
      <c r="C441" s="3" t="str">
        <f>IF(A441="","",(-PMT(Refinance_Calculator!$C$13/12,Refinance_Calculator!$C$16,Full_Report!$B$86,0,0)))</f>
        <v/>
      </c>
      <c r="D441" s="3" t="str">
        <f t="shared" si="31"/>
        <v/>
      </c>
      <c r="E441" s="3" t="str">
        <f>IF(A441="","",(-PPMT(Refinance_Calculator!$C$13/12,Full_Report!A441,Refinance_Calculator!$C$16,Full_Report!$B$86,0,0)))</f>
        <v/>
      </c>
      <c r="F441" s="3" t="str">
        <f t="shared" si="32"/>
        <v/>
      </c>
      <c r="G441" s="5" t="str">
        <f t="shared" si="28"/>
        <v/>
      </c>
      <c r="H441" s="5" t="str">
        <f t="shared" si="29"/>
        <v/>
      </c>
      <c r="J441"/>
      <c r="K441"/>
      <c r="L441"/>
      <c r="M441"/>
      <c r="O441"/>
      <c r="P441"/>
      <c r="Q441"/>
    </row>
    <row r="442" spans="1:17" ht="14.4" x14ac:dyDescent="0.3">
      <c r="A442" s="1" t="str">
        <f>IF(OR(A441="",F441=0,A441=Refinance_Calculator!$C$16),"",A441+1)</f>
        <v/>
      </c>
      <c r="B442" s="3" t="str">
        <f t="shared" si="30"/>
        <v/>
      </c>
      <c r="C442" s="3" t="str">
        <f>IF(A442="","",(-PMT(Refinance_Calculator!$C$13/12,Refinance_Calculator!$C$16,Full_Report!$B$86,0,0)))</f>
        <v/>
      </c>
      <c r="D442" s="3" t="str">
        <f t="shared" si="31"/>
        <v/>
      </c>
      <c r="E442" s="3" t="str">
        <f>IF(A442="","",(-PPMT(Refinance_Calculator!$C$13/12,Full_Report!A442,Refinance_Calculator!$C$16,Full_Report!$B$86,0,0)))</f>
        <v/>
      </c>
      <c r="F442" s="3" t="str">
        <f t="shared" si="32"/>
        <v/>
      </c>
      <c r="G442" s="5" t="str">
        <f t="shared" si="28"/>
        <v/>
      </c>
      <c r="H442" s="5" t="str">
        <f t="shared" si="29"/>
        <v/>
      </c>
      <c r="J442"/>
      <c r="K442"/>
      <c r="L442"/>
      <c r="M442"/>
      <c r="O442"/>
      <c r="P442"/>
      <c r="Q442"/>
    </row>
    <row r="443" spans="1:17" ht="14.4" x14ac:dyDescent="0.3">
      <c r="A443" s="1" t="str">
        <f>IF(OR(A442="",F442=0,A442=Refinance_Calculator!$C$16),"",A442+1)</f>
        <v/>
      </c>
      <c r="B443" s="3" t="str">
        <f t="shared" si="30"/>
        <v/>
      </c>
      <c r="C443" s="3" t="str">
        <f>IF(A443="","",(-PMT(Refinance_Calculator!$C$13/12,Refinance_Calculator!$C$16,Full_Report!$B$86,0,0)))</f>
        <v/>
      </c>
      <c r="D443" s="3" t="str">
        <f t="shared" si="31"/>
        <v/>
      </c>
      <c r="E443" s="3" t="str">
        <f>IF(A443="","",(-PPMT(Refinance_Calculator!$C$13/12,Full_Report!A443,Refinance_Calculator!$C$16,Full_Report!$B$86,0,0)))</f>
        <v/>
      </c>
      <c r="F443" s="3" t="str">
        <f t="shared" si="32"/>
        <v/>
      </c>
      <c r="G443" s="5" t="str">
        <f t="shared" si="28"/>
        <v/>
      </c>
      <c r="H443" s="5" t="str">
        <f t="shared" si="29"/>
        <v/>
      </c>
      <c r="J443"/>
      <c r="K443"/>
      <c r="L443"/>
      <c r="M443"/>
      <c r="O443"/>
      <c r="P443"/>
      <c r="Q443"/>
    </row>
    <row r="444" spans="1:17" ht="14.4" x14ac:dyDescent="0.3">
      <c r="A444" s="1" t="str">
        <f>IF(OR(A443="",F443=0,A443=Refinance_Calculator!$C$16),"",A443+1)</f>
        <v/>
      </c>
      <c r="B444" s="3" t="str">
        <f t="shared" si="30"/>
        <v/>
      </c>
      <c r="C444" s="3" t="str">
        <f>IF(A444="","",(-PMT(Refinance_Calculator!$C$13/12,Refinance_Calculator!$C$16,Full_Report!$B$86,0,0)))</f>
        <v/>
      </c>
      <c r="D444" s="3" t="str">
        <f t="shared" si="31"/>
        <v/>
      </c>
      <c r="E444" s="3" t="str">
        <f>IF(A444="","",(-PPMT(Refinance_Calculator!$C$13/12,Full_Report!A444,Refinance_Calculator!$C$16,Full_Report!$B$86,0,0)))</f>
        <v/>
      </c>
      <c r="F444" s="3" t="str">
        <f t="shared" si="32"/>
        <v/>
      </c>
      <c r="G444" s="5" t="str">
        <f t="shared" si="28"/>
        <v/>
      </c>
      <c r="H444" s="5" t="str">
        <f t="shared" si="29"/>
        <v/>
      </c>
      <c r="J444"/>
      <c r="K444"/>
      <c r="L444"/>
      <c r="M444"/>
      <c r="O444"/>
      <c r="P444"/>
      <c r="Q444"/>
    </row>
    <row r="445" spans="1:17" ht="14.4" x14ac:dyDescent="0.3">
      <c r="A445" s="1" t="str">
        <f>IF(OR(A444="",F444=0,A444=Refinance_Calculator!$C$16),"",A444+1)</f>
        <v/>
      </c>
      <c r="B445" s="3" t="str">
        <f t="shared" si="30"/>
        <v/>
      </c>
      <c r="C445" s="3" t="str">
        <f>IF(A445="","",(-PMT(Refinance_Calculator!$C$13/12,Refinance_Calculator!$C$16,Full_Report!$B$86,0,0)))</f>
        <v/>
      </c>
      <c r="D445" s="3" t="str">
        <f t="shared" si="31"/>
        <v/>
      </c>
      <c r="E445" s="3" t="str">
        <f>IF(A445="","",(-PPMT(Refinance_Calculator!$C$13/12,Full_Report!A445,Refinance_Calculator!$C$16,Full_Report!$B$86,0,0)))</f>
        <v/>
      </c>
      <c r="F445" s="3" t="str">
        <f t="shared" si="32"/>
        <v/>
      </c>
      <c r="G445" s="5" t="str">
        <f t="shared" si="28"/>
        <v/>
      </c>
      <c r="H445" s="5" t="str">
        <f t="shared" si="29"/>
        <v/>
      </c>
      <c r="J445"/>
      <c r="K445"/>
      <c r="L445"/>
      <c r="M445"/>
      <c r="O445"/>
      <c r="P445"/>
      <c r="Q445"/>
    </row>
    <row r="446" spans="1:17" ht="14.4" x14ac:dyDescent="0.3">
      <c r="A446" s="1" t="str">
        <f>IF(OR(A445="",F445=0,A445=Refinance_Calculator!$C$16),"",A445+1)</f>
        <v/>
      </c>
      <c r="B446" s="3" t="str">
        <f>IF(A446="","",(F445))</f>
        <v/>
      </c>
      <c r="C446" s="3" t="str">
        <f>IF(A446="","",(-PMT(Refinance_Calculator!$C$13/12,Refinance_Calculator!$C$16,Full_Report!$B$86,0,0)))</f>
        <v/>
      </c>
      <c r="D446" s="3" t="str">
        <f t="shared" si="31"/>
        <v/>
      </c>
      <c r="E446" s="3" t="str">
        <f>IF(A446="","",(-PPMT(Refinance_Calculator!$C$13/12,Full_Report!A446,Refinance_Calculator!$C$16,Full_Report!$B$86,0,0)))</f>
        <v/>
      </c>
      <c r="F446" s="3" t="str">
        <f t="shared" si="32"/>
        <v/>
      </c>
      <c r="G446" s="5" t="str">
        <f t="shared" si="28"/>
        <v/>
      </c>
      <c r="H446" s="5" t="str">
        <f t="shared" si="29"/>
        <v/>
      </c>
      <c r="J446"/>
      <c r="K446"/>
      <c r="L446"/>
      <c r="M446"/>
      <c r="O446"/>
      <c r="P446"/>
      <c r="Q446"/>
    </row>
    <row r="447" spans="1:17" ht="14.4" x14ac:dyDescent="0.3">
      <c r="A447" s="1" t="str">
        <f>IF(OR(A446="",F446=0,A446=Refinance_Calculator!$C$16),"",A446+1)</f>
        <v/>
      </c>
      <c r="B447" s="3" t="str">
        <f t="shared" si="30"/>
        <v/>
      </c>
      <c r="C447" s="3" t="str">
        <f>IF(A447="","",(-PMT(Refinance_Calculator!$C$13/12,Refinance_Calculator!$C$16,Full_Report!$B$86,0,0)))</f>
        <v/>
      </c>
      <c r="D447" s="3" t="str">
        <f t="shared" si="31"/>
        <v/>
      </c>
      <c r="E447" s="3" t="str">
        <f>IF(A447="","",(-PPMT(Refinance_Calculator!$C$13/12,Full_Report!A447,Refinance_Calculator!$C$16,Full_Report!$B$86,0,0)))</f>
        <v/>
      </c>
      <c r="F447" s="3" t="str">
        <f t="shared" si="32"/>
        <v/>
      </c>
      <c r="G447" s="5" t="str">
        <f t="shared" si="28"/>
        <v/>
      </c>
      <c r="H447" s="5" t="str">
        <f t="shared" si="29"/>
        <v/>
      </c>
      <c r="J447"/>
      <c r="K447"/>
      <c r="L447"/>
      <c r="M447"/>
      <c r="O447"/>
      <c r="P447"/>
      <c r="Q447"/>
    </row>
    <row r="448" spans="1:17" ht="14.4" x14ac:dyDescent="0.3">
      <c r="A448" s="1" t="str">
        <f>IF(OR(A447="",F447=0,A447=Refinance_Calculator!$C$16),"",A447+1)</f>
        <v/>
      </c>
      <c r="B448" s="3" t="str">
        <f t="shared" si="30"/>
        <v/>
      </c>
      <c r="C448" s="3" t="str">
        <f>IF(A448="","",(-PMT(Refinance_Calculator!$C$13/12,Refinance_Calculator!$C$16,Full_Report!$B$86,0,0)))</f>
        <v/>
      </c>
      <c r="D448" s="3" t="str">
        <f t="shared" si="31"/>
        <v/>
      </c>
      <c r="E448" s="3" t="str">
        <f>IF(A448="","",(-PPMT(Refinance_Calculator!$C$13/12,Full_Report!A448,Refinance_Calculator!$C$16,Full_Report!$B$86,0,0)))</f>
        <v/>
      </c>
      <c r="F448" s="3" t="str">
        <f t="shared" si="32"/>
        <v/>
      </c>
      <c r="G448" s="5" t="str">
        <f t="shared" si="28"/>
        <v/>
      </c>
      <c r="H448" s="5" t="str">
        <f t="shared" si="29"/>
        <v/>
      </c>
      <c r="J448"/>
      <c r="K448"/>
      <c r="L448"/>
      <c r="M448"/>
    </row>
    <row r="449" spans="1:8" x14ac:dyDescent="0.25">
      <c r="A449" s="1" t="str">
        <f>IF(OR(A448="",F448=0,A448=Refinance_Calculator!$C$16),"",A448+1)</f>
        <v/>
      </c>
      <c r="B449" s="3" t="str">
        <f t="shared" si="30"/>
        <v/>
      </c>
      <c r="C449" s="3" t="str">
        <f>IF(A449="","",(-PMT(Refinance_Calculator!$C$13/12,Refinance_Calculator!$C$16,Full_Report!$B$86,0,0)))</f>
        <v/>
      </c>
      <c r="D449" s="3" t="str">
        <f t="shared" si="31"/>
        <v/>
      </c>
      <c r="E449" s="3" t="str">
        <f>IF(A449="","",(-PPMT(Refinance_Calculator!$C$13/12,Full_Report!A449,Refinance_Calculator!$C$16,Full_Report!$B$86,0,0)))</f>
        <v/>
      </c>
      <c r="F449" s="3" t="str">
        <f t="shared" si="32"/>
        <v/>
      </c>
      <c r="G449" s="5" t="str">
        <f t="shared" si="28"/>
        <v/>
      </c>
      <c r="H449" s="5" t="str">
        <f t="shared" si="29"/>
        <v/>
      </c>
    </row>
    <row r="450" spans="1:8" x14ac:dyDescent="0.25">
      <c r="A450" s="1" t="str">
        <f>IF(OR(A449="",F449=0,A449=Refinance_Calculator!$C$16),"",A449+1)</f>
        <v/>
      </c>
      <c r="B450" s="3" t="str">
        <f t="shared" si="30"/>
        <v/>
      </c>
      <c r="C450" s="3" t="str">
        <f>IF(A450="","",(-PMT(Refinance_Calculator!$C$13/12,Refinance_Calculator!$C$16,Full_Report!$B$86,0,0)))</f>
        <v/>
      </c>
      <c r="D450" s="3" t="str">
        <f t="shared" si="31"/>
        <v/>
      </c>
      <c r="E450" s="3" t="str">
        <f>IF(A450="","",(-PPMT(Refinance_Calculator!$C$13/12,Full_Report!A450,Refinance_Calculator!$C$16,Full_Report!$B$86,0,0)))</f>
        <v/>
      </c>
      <c r="F450" s="3" t="str">
        <f t="shared" si="32"/>
        <v/>
      </c>
      <c r="G450" s="5" t="str">
        <f t="shared" si="28"/>
        <v/>
      </c>
      <c r="H450" s="5" t="str">
        <f t="shared" si="29"/>
        <v/>
      </c>
    </row>
    <row r="451" spans="1:8" x14ac:dyDescent="0.25">
      <c r="A451" s="1" t="str">
        <f>IF(OR(A450="",F450=0,A450=Refinance_Calculator!$C$16),"",A450+1)</f>
        <v/>
      </c>
      <c r="B451" s="3" t="str">
        <f t="shared" si="30"/>
        <v/>
      </c>
      <c r="C451" s="3" t="str">
        <f>IF(A451="","",(-PMT(Refinance_Calculator!$C$13/12,Refinance_Calculator!$C$16,Full_Report!$B$86,0,0)))</f>
        <v/>
      </c>
      <c r="D451" s="3" t="str">
        <f t="shared" si="31"/>
        <v/>
      </c>
      <c r="E451" s="3" t="str">
        <f>IF(A451="","",(-PPMT(Refinance_Calculator!$C$13/12,Full_Report!A451,Refinance_Calculator!$C$16,Full_Report!$B$86,0,0)))</f>
        <v/>
      </c>
      <c r="F451" s="3" t="str">
        <f t="shared" si="32"/>
        <v/>
      </c>
      <c r="G451" s="5" t="str">
        <f t="shared" si="28"/>
        <v/>
      </c>
      <c r="H451" s="5" t="str">
        <f t="shared" si="29"/>
        <v/>
      </c>
    </row>
    <row r="452" spans="1:8" x14ac:dyDescent="0.25">
      <c r="A452" s="1" t="str">
        <f>IF(OR(A451="",F451=0,A451=Refinance_Calculator!$C$16),"",A451+1)</f>
        <v/>
      </c>
      <c r="B452" s="3" t="str">
        <f t="shared" si="30"/>
        <v/>
      </c>
      <c r="C452" s="3" t="str">
        <f>IF(A452="","",(-PMT(Refinance_Calculator!$C$13/12,Refinance_Calculator!$C$16,Full_Report!$B$86,0,0)))</f>
        <v/>
      </c>
      <c r="D452" s="3" t="str">
        <f t="shared" si="31"/>
        <v/>
      </c>
      <c r="E452" s="3" t="str">
        <f>IF(A452="","",(-PPMT(Refinance_Calculator!$C$13/12,Full_Report!A452,Refinance_Calculator!$C$16,Full_Report!$B$86,0,0)))</f>
        <v/>
      </c>
      <c r="F452" s="3" t="str">
        <f t="shared" si="32"/>
        <v/>
      </c>
      <c r="G452" s="5" t="str">
        <f t="shared" si="28"/>
        <v/>
      </c>
      <c r="H452" s="5" t="str">
        <f t="shared" si="29"/>
        <v/>
      </c>
    </row>
    <row r="453" spans="1:8" x14ac:dyDescent="0.25">
      <c r="A453" s="1" t="str">
        <f>IF(OR(A452="",F452=0,A452=Refinance_Calculator!$C$16),"",A452+1)</f>
        <v/>
      </c>
      <c r="B453" s="3" t="str">
        <f t="shared" si="30"/>
        <v/>
      </c>
      <c r="C453" s="3" t="str">
        <f>IF(A453="","",(-PMT(Refinance_Calculator!$C$13/12,Refinance_Calculator!$C$16,Full_Report!$B$86,0,0)))</f>
        <v/>
      </c>
      <c r="D453" s="3" t="str">
        <f t="shared" si="31"/>
        <v/>
      </c>
      <c r="E453" s="3" t="str">
        <f>IF(A453="","",(-PPMT(Refinance_Calculator!$C$13/12,Full_Report!A453,Refinance_Calculator!$C$16,Full_Report!$B$86,0,0)))</f>
        <v/>
      </c>
      <c r="F453" s="3" t="str">
        <f t="shared" si="32"/>
        <v/>
      </c>
      <c r="G453" s="5" t="str">
        <f t="shared" si="28"/>
        <v/>
      </c>
      <c r="H453" s="5" t="str">
        <f t="shared" si="29"/>
        <v/>
      </c>
    </row>
    <row r="454" spans="1:8" x14ac:dyDescent="0.25">
      <c r="A454" s="1" t="str">
        <f>IF(OR(A453="",F453=0,A453=Refinance_Calculator!$C$16),"",A453+1)</f>
        <v/>
      </c>
      <c r="B454" s="3" t="str">
        <f t="shared" si="30"/>
        <v/>
      </c>
      <c r="C454" s="3" t="str">
        <f>IF(A454="","",(-PMT(Refinance_Calculator!$C$13/12,Refinance_Calculator!$C$16,Full_Report!$B$86,0,0)))</f>
        <v/>
      </c>
      <c r="D454" s="3" t="str">
        <f t="shared" si="31"/>
        <v/>
      </c>
      <c r="E454" s="3" t="str">
        <f>IF(A454="","",(-PPMT(Refinance_Calculator!$C$13/12,Full_Report!A454,Refinance_Calculator!$C$16,Full_Report!$B$86,0,0)))</f>
        <v/>
      </c>
      <c r="F454" s="3" t="str">
        <f t="shared" si="32"/>
        <v/>
      </c>
      <c r="G454" s="5" t="str">
        <f t="shared" si="28"/>
        <v/>
      </c>
      <c r="H454" s="5" t="str">
        <f t="shared" si="29"/>
        <v/>
      </c>
    </row>
    <row r="455" spans="1:8" x14ac:dyDescent="0.25">
      <c r="A455" s="1" t="str">
        <f>IF(OR(A454="",F454=0,A454=Refinance_Calculator!$C$16),"",A454+1)</f>
        <v/>
      </c>
      <c r="B455" s="3" t="str">
        <f t="shared" si="30"/>
        <v/>
      </c>
      <c r="C455" s="3" t="str">
        <f>IF(A455="","",(-PMT(Refinance_Calculator!$C$13/12,Refinance_Calculator!$C$16,Full_Report!$B$86,0,0)))</f>
        <v/>
      </c>
      <c r="D455" s="3" t="str">
        <f t="shared" si="31"/>
        <v/>
      </c>
      <c r="E455" s="3" t="str">
        <f>IF(A455="","",(-PPMT(Refinance_Calculator!$C$13/12,Full_Report!A455,Refinance_Calculator!$C$16,Full_Report!$B$86,0,0)))</f>
        <v/>
      </c>
      <c r="F455" s="3" t="str">
        <f t="shared" si="32"/>
        <v/>
      </c>
      <c r="G455" s="5" t="str">
        <f t="shared" si="28"/>
        <v/>
      </c>
      <c r="H455" s="5" t="str">
        <f t="shared" si="29"/>
        <v/>
      </c>
    </row>
    <row r="456" spans="1:8" x14ac:dyDescent="0.25">
      <c r="A456" s="1" t="str">
        <f>IF(OR(A455="",F455=0,A455=Refinance_Calculator!$C$16),"",A455+1)</f>
        <v/>
      </c>
      <c r="B456" s="3" t="str">
        <f t="shared" si="30"/>
        <v/>
      </c>
      <c r="C456" s="3" t="str">
        <f>IF(A456="","",(-PMT(Refinance_Calculator!$C$13/12,Refinance_Calculator!$C$16,Full_Report!$B$86,0,0)))</f>
        <v/>
      </c>
      <c r="D456" s="3" t="str">
        <f t="shared" si="31"/>
        <v/>
      </c>
      <c r="E456" s="3" t="str">
        <f>IF(A456="","",(-PPMT(Refinance_Calculator!$C$13/12,Full_Report!A456,Refinance_Calculator!$C$16,Full_Report!$B$86,0,0)))</f>
        <v/>
      </c>
      <c r="F456" s="3" t="str">
        <f t="shared" si="32"/>
        <v/>
      </c>
      <c r="G456" s="5" t="str">
        <f t="shared" si="28"/>
        <v/>
      </c>
      <c r="H456" s="5" t="str">
        <f t="shared" si="29"/>
        <v/>
      </c>
    </row>
    <row r="457" spans="1:8" x14ac:dyDescent="0.25">
      <c r="A457" s="1" t="str">
        <f>IF(OR(A456="",F456=0,A456=Refinance_Calculator!$C$16),"",A456+1)</f>
        <v/>
      </c>
      <c r="B457" s="3" t="str">
        <f t="shared" si="30"/>
        <v/>
      </c>
      <c r="C457" s="3" t="str">
        <f>IF(A457="","",(-PMT(Refinance_Calculator!$C$13/12,Refinance_Calculator!$C$16,Full_Report!$B$86,0,0)))</f>
        <v/>
      </c>
      <c r="D457" s="3" t="str">
        <f t="shared" si="31"/>
        <v/>
      </c>
      <c r="E457" s="3" t="str">
        <f>IF(A457="","",(-PPMT(Refinance_Calculator!$C$13/12,Full_Report!A457,Refinance_Calculator!$C$16,Full_Report!$B$86,0,0)))</f>
        <v/>
      </c>
      <c r="F457" s="3" t="str">
        <f t="shared" si="32"/>
        <v/>
      </c>
      <c r="G457" s="5" t="str">
        <f t="shared" si="28"/>
        <v/>
      </c>
      <c r="H457" s="5" t="str">
        <f t="shared" si="29"/>
        <v/>
      </c>
    </row>
    <row r="458" spans="1:8" x14ac:dyDescent="0.25">
      <c r="A458" s="1" t="str">
        <f>IF(OR(A457="",F457=0,A457=Refinance_Calculator!$C$16),"",A457+1)</f>
        <v/>
      </c>
      <c r="B458" s="3" t="str">
        <f t="shared" si="30"/>
        <v/>
      </c>
      <c r="C458" s="3" t="str">
        <f>IF(A458="","",(-PMT(Refinance_Calculator!$C$13/12,Refinance_Calculator!$C$16,Full_Report!$B$86,0,0)))</f>
        <v/>
      </c>
      <c r="D458" s="3" t="str">
        <f t="shared" si="31"/>
        <v/>
      </c>
      <c r="E458" s="3" t="str">
        <f>IF(A458="","",(-PPMT(Refinance_Calculator!$C$13/12,Full_Report!A458,Refinance_Calculator!$C$16,Full_Report!$B$86,0,0)))</f>
        <v/>
      </c>
      <c r="F458" s="3" t="str">
        <f t="shared" si="32"/>
        <v/>
      </c>
      <c r="G458" s="5" t="str">
        <f t="shared" si="28"/>
        <v/>
      </c>
      <c r="H458" s="5" t="str">
        <f t="shared" si="29"/>
        <v/>
      </c>
    </row>
    <row r="459" spans="1:8" x14ac:dyDescent="0.25">
      <c r="A459" s="1" t="str">
        <f>IF(OR(A458="",F458=0,A458=Refinance_Calculator!$C$16),"",A458+1)</f>
        <v/>
      </c>
      <c r="B459" s="3" t="str">
        <f t="shared" si="30"/>
        <v/>
      </c>
      <c r="C459" s="3" t="str">
        <f>IF(A459="","",(-PMT(Refinance_Calculator!$C$13/12,Refinance_Calculator!$C$16,Full_Report!$B$86,0,0)))</f>
        <v/>
      </c>
      <c r="D459" s="3" t="str">
        <f t="shared" si="31"/>
        <v/>
      </c>
      <c r="E459" s="3" t="str">
        <f>IF(A459="","",(-PPMT(Refinance_Calculator!$C$13/12,Full_Report!A459,Refinance_Calculator!$C$16,Full_Report!$B$86,0,0)))</f>
        <v/>
      </c>
      <c r="F459" s="3" t="str">
        <f t="shared" si="32"/>
        <v/>
      </c>
      <c r="G459" s="5" t="str">
        <f t="shared" si="28"/>
        <v/>
      </c>
      <c r="H459" s="5" t="str">
        <f t="shared" si="29"/>
        <v/>
      </c>
    </row>
    <row r="460" spans="1:8" x14ac:dyDescent="0.25">
      <c r="A460" s="1" t="str">
        <f>IF(OR(A459="",F459=0,A459=Refinance_Calculator!$C$16),"",A459+1)</f>
        <v/>
      </c>
      <c r="B460" s="3" t="str">
        <f t="shared" si="30"/>
        <v/>
      </c>
      <c r="C460" s="3" t="str">
        <f>IF(A460="","",(-PMT(Refinance_Calculator!$C$13/12,Refinance_Calculator!$C$16,Full_Report!$B$86,0,0)))</f>
        <v/>
      </c>
      <c r="D460" s="3" t="str">
        <f t="shared" si="31"/>
        <v/>
      </c>
      <c r="E460" s="3" t="str">
        <f>IF(A460="","",(-PPMT(Refinance_Calculator!$C$13/12,Full_Report!A460,Refinance_Calculator!$C$16,Full_Report!$B$86,0,0)))</f>
        <v/>
      </c>
      <c r="F460" s="3" t="str">
        <f t="shared" si="32"/>
        <v/>
      </c>
      <c r="G460" s="5" t="str">
        <f t="shared" si="28"/>
        <v/>
      </c>
      <c r="H460" s="5" t="str">
        <f t="shared" si="29"/>
        <v/>
      </c>
    </row>
    <row r="461" spans="1:8" x14ac:dyDescent="0.25">
      <c r="A461" s="1" t="str">
        <f>IF(OR(A460="",F460=0,A460=Refinance_Calculator!$C$16),"",A460+1)</f>
        <v/>
      </c>
      <c r="B461" s="3" t="str">
        <f t="shared" si="30"/>
        <v/>
      </c>
      <c r="C461" s="3" t="str">
        <f>IF(A461="","",(-PMT(Refinance_Calculator!$C$13/12,Refinance_Calculator!$C$16,Full_Report!$B$86,0,0)))</f>
        <v/>
      </c>
      <c r="D461" s="3" t="str">
        <f t="shared" si="31"/>
        <v/>
      </c>
      <c r="E461" s="3" t="str">
        <f>IF(A461="","",(-PPMT(Refinance_Calculator!$C$13/12,Full_Report!A461,Refinance_Calculator!$C$16,Full_Report!$B$86,0,0)))</f>
        <v/>
      </c>
      <c r="F461" s="3" t="str">
        <f t="shared" si="32"/>
        <v/>
      </c>
      <c r="G461" s="5" t="str">
        <f t="shared" si="28"/>
        <v/>
      </c>
      <c r="H461" s="5" t="str">
        <f t="shared" si="29"/>
        <v/>
      </c>
    </row>
    <row r="462" spans="1:8" x14ac:dyDescent="0.25">
      <c r="A462" s="1" t="str">
        <f>IF(OR(A461="",F461=0,A461=Refinance_Calculator!$C$16),"",A461+1)</f>
        <v/>
      </c>
      <c r="B462" s="3" t="str">
        <f t="shared" si="30"/>
        <v/>
      </c>
      <c r="C462" s="3" t="str">
        <f>IF(A462="","",(-PMT(Refinance_Calculator!$C$13/12,Refinance_Calculator!$C$16,Full_Report!$B$86,0,0)))</f>
        <v/>
      </c>
      <c r="D462" s="3" t="str">
        <f t="shared" si="31"/>
        <v/>
      </c>
      <c r="E462" s="3" t="str">
        <f>IF(A462="","",(-PPMT(Refinance_Calculator!$C$13/12,Full_Report!A462,Refinance_Calculator!$C$16,Full_Report!$B$86,0,0)))</f>
        <v/>
      </c>
      <c r="F462" s="3" t="str">
        <f t="shared" si="32"/>
        <v/>
      </c>
      <c r="G462" s="5" t="str">
        <f t="shared" si="28"/>
        <v/>
      </c>
      <c r="H462" s="5" t="str">
        <f t="shared" si="29"/>
        <v/>
      </c>
    </row>
    <row r="463" spans="1:8" x14ac:dyDescent="0.25">
      <c r="A463" s="1" t="str">
        <f>IF(OR(A462="",F462=0,A462=Refinance_Calculator!$C$16),"",A462+1)</f>
        <v/>
      </c>
      <c r="B463" s="3" t="str">
        <f t="shared" si="30"/>
        <v/>
      </c>
      <c r="C463" s="3" t="str">
        <f>IF(A463="","",(-PMT(Refinance_Calculator!$C$13/12,Refinance_Calculator!$C$16,Full_Report!$B$86,0,0)))</f>
        <v/>
      </c>
      <c r="D463" s="3" t="str">
        <f t="shared" si="31"/>
        <v/>
      </c>
      <c r="E463" s="3" t="str">
        <f>IF(A463="","",(-PPMT(Refinance_Calculator!$C$13/12,Full_Report!A463,Refinance_Calculator!$C$16,Full_Report!$B$86,0,0)))</f>
        <v/>
      </c>
      <c r="F463" s="3" t="str">
        <f t="shared" si="32"/>
        <v/>
      </c>
      <c r="G463" s="5" t="str">
        <f t="shared" si="28"/>
        <v/>
      </c>
      <c r="H463" s="5" t="str">
        <f t="shared" si="29"/>
        <v/>
      </c>
    </row>
    <row r="464" spans="1:8" x14ac:dyDescent="0.25">
      <c r="A464" s="1" t="str">
        <f>IF(OR(A463="",F463=0,A463=Refinance_Calculator!$C$16),"",A463+1)</f>
        <v/>
      </c>
      <c r="B464" s="3" t="str">
        <f t="shared" si="30"/>
        <v/>
      </c>
      <c r="C464" s="3" t="str">
        <f>IF(A464="","",(-PMT(Refinance_Calculator!$C$13/12,Refinance_Calculator!$C$16,Full_Report!$B$86,0,0)))</f>
        <v/>
      </c>
      <c r="D464" s="3" t="str">
        <f t="shared" si="31"/>
        <v/>
      </c>
      <c r="E464" s="3" t="str">
        <f>IF(A464="","",(-PPMT(Refinance_Calculator!$C$13/12,Full_Report!A464,Refinance_Calculator!$C$16,Full_Report!$B$86,0,0)))</f>
        <v/>
      </c>
      <c r="F464" s="3" t="str">
        <f t="shared" si="32"/>
        <v/>
      </c>
      <c r="G464" s="5" t="str">
        <f t="shared" si="28"/>
        <v/>
      </c>
      <c r="H464" s="5" t="str">
        <f t="shared" si="29"/>
        <v/>
      </c>
    </row>
    <row r="465" spans="1:8" x14ac:dyDescent="0.25">
      <c r="A465" s="1" t="str">
        <f>IF(OR(A464="",F464=0,A464=Refinance_Calculator!$C$16),"",A464+1)</f>
        <v/>
      </c>
      <c r="B465" s="3" t="str">
        <f t="shared" si="30"/>
        <v/>
      </c>
      <c r="C465" s="3" t="str">
        <f>IF(A465="","",(-PMT(Refinance_Calculator!$C$13/12,Refinance_Calculator!$C$16,Full_Report!$B$86,0,0)))</f>
        <v/>
      </c>
      <c r="D465" s="3" t="str">
        <f t="shared" si="31"/>
        <v/>
      </c>
      <c r="E465" s="3" t="str">
        <f>IF(A465="","",(-PPMT(Refinance_Calculator!$C$13/12,Full_Report!A465,Refinance_Calculator!$C$16,Full_Report!$B$86,0,0)))</f>
        <v/>
      </c>
      <c r="F465" s="3" t="str">
        <f t="shared" si="32"/>
        <v/>
      </c>
      <c r="G465" s="5" t="str">
        <f t="shared" si="28"/>
        <v/>
      </c>
      <c r="H465" s="5" t="str">
        <f t="shared" si="29"/>
        <v/>
      </c>
    </row>
    <row r="466" spans="1:8" x14ac:dyDescent="0.25">
      <c r="A466" s="1" t="str">
        <f>IF(OR(A465="",F465=0,A465=Refinance_Calculator!$C$16),"",A465+1)</f>
        <v/>
      </c>
      <c r="B466" s="3" t="str">
        <f t="shared" si="30"/>
        <v/>
      </c>
      <c r="C466" s="3" t="str">
        <f>IF(A466="","",(-PMT(Refinance_Calculator!$C$13/12,Refinance_Calculator!$C$16,Full_Report!$B$86,0,0)))</f>
        <v/>
      </c>
      <c r="D466" s="3" t="str">
        <f t="shared" si="31"/>
        <v/>
      </c>
      <c r="E466" s="3" t="str">
        <f>IF(A466="","",(-PPMT(Refinance_Calculator!$C$13/12,Full_Report!A466,Refinance_Calculator!$C$16,Full_Report!$B$86,0,0)))</f>
        <v/>
      </c>
      <c r="F466" s="3" t="str">
        <f t="shared" si="32"/>
        <v/>
      </c>
      <c r="G466" s="5" t="str">
        <f t="shared" si="28"/>
        <v/>
      </c>
      <c r="H466" s="5" t="str">
        <f t="shared" si="29"/>
        <v/>
      </c>
    </row>
    <row r="467" spans="1:8" x14ac:dyDescent="0.25">
      <c r="A467" s="1" t="str">
        <f>IF(OR(A466="",F466=0,A466=Refinance_Calculator!$C$16),"",A466+1)</f>
        <v/>
      </c>
      <c r="B467" s="3" t="str">
        <f t="shared" si="30"/>
        <v/>
      </c>
      <c r="C467" s="3" t="str">
        <f>IF(A467="","",(-PMT(Refinance_Calculator!$C$13/12,Refinance_Calculator!$C$16,Full_Report!$B$86,0,0)))</f>
        <v/>
      </c>
      <c r="D467" s="3" t="str">
        <f t="shared" si="31"/>
        <v/>
      </c>
      <c r="E467" s="3" t="str">
        <f>IF(A467="","",(-PPMT(Refinance_Calculator!$C$13/12,Full_Report!A467,Refinance_Calculator!$C$16,Full_Report!$B$86,0,0)))</f>
        <v/>
      </c>
      <c r="F467" s="3" t="str">
        <f t="shared" si="32"/>
        <v/>
      </c>
      <c r="G467" s="5" t="str">
        <f t="shared" si="28"/>
        <v/>
      </c>
      <c r="H467" s="5" t="str">
        <f t="shared" si="29"/>
        <v/>
      </c>
    </row>
    <row r="468" spans="1:8" x14ac:dyDescent="0.25">
      <c r="A468" s="1" t="str">
        <f>IF(OR(A467="",F467=0,A467=Refinance_Calculator!$C$16),"",A467+1)</f>
        <v/>
      </c>
      <c r="B468" s="3" t="str">
        <f t="shared" si="30"/>
        <v/>
      </c>
      <c r="C468" s="3" t="str">
        <f>IF(A468="","",(-PMT(Refinance_Calculator!$C$13/12,Refinance_Calculator!$C$16,Full_Report!$B$86,0,0)))</f>
        <v/>
      </c>
      <c r="D468" s="3" t="str">
        <f t="shared" si="31"/>
        <v/>
      </c>
      <c r="E468" s="3" t="str">
        <f>IF(A468="","",(-PPMT(Refinance_Calculator!$C$13/12,Full_Report!A468,Refinance_Calculator!$C$16,Full_Report!$B$86,0,0)))</f>
        <v/>
      </c>
      <c r="F468" s="3" t="str">
        <f t="shared" si="32"/>
        <v/>
      </c>
      <c r="G468" s="5" t="str">
        <f t="shared" si="28"/>
        <v/>
      </c>
      <c r="H468" s="5" t="str">
        <f t="shared" si="29"/>
        <v/>
      </c>
    </row>
    <row r="469" spans="1:8" x14ac:dyDescent="0.25">
      <c r="A469" s="1" t="str">
        <f>IF(OR(A468="",F468=0,A468=Refinance_Calculator!$C$16),"",A468+1)</f>
        <v/>
      </c>
      <c r="B469" s="3" t="str">
        <f t="shared" si="30"/>
        <v/>
      </c>
      <c r="C469" s="3" t="str">
        <f>IF(A469="","",(-PMT(Refinance_Calculator!$C$13/12,Refinance_Calculator!$C$16,Full_Report!$B$86,0,0)))</f>
        <v/>
      </c>
      <c r="D469" s="3" t="str">
        <f t="shared" si="31"/>
        <v/>
      </c>
      <c r="E469" s="3" t="str">
        <f>IF(A469="","",(-PPMT(Refinance_Calculator!$C$13/12,Full_Report!A469,Refinance_Calculator!$C$16,Full_Report!$B$86,0,0)))</f>
        <v/>
      </c>
      <c r="F469" s="3" t="str">
        <f t="shared" si="32"/>
        <v/>
      </c>
      <c r="G469" s="5" t="str">
        <f t="shared" si="28"/>
        <v/>
      </c>
      <c r="H469" s="5" t="str">
        <f t="shared" si="29"/>
        <v/>
      </c>
    </row>
    <row r="470" spans="1:8" x14ac:dyDescent="0.25">
      <c r="A470" s="1" t="str">
        <f>IF(OR(A469="",F469=0,A469=Refinance_Calculator!$C$16),"",A469+1)</f>
        <v/>
      </c>
      <c r="B470" s="3" t="str">
        <f t="shared" si="30"/>
        <v/>
      </c>
      <c r="C470" s="3" t="str">
        <f>IF(A470="","",(-PMT(Refinance_Calculator!$C$13/12,Refinance_Calculator!$C$16,Full_Report!$B$86,0,0)))</f>
        <v/>
      </c>
      <c r="D470" s="3" t="str">
        <f t="shared" si="31"/>
        <v/>
      </c>
      <c r="E470" s="3" t="str">
        <f>IF(A470="","",(-PPMT(Refinance_Calculator!$C$13/12,Full_Report!A470,Refinance_Calculator!$C$16,Full_Report!$B$86,0,0)))</f>
        <v/>
      </c>
      <c r="F470" s="3" t="str">
        <f t="shared" si="32"/>
        <v/>
      </c>
      <c r="G470" s="5" t="str">
        <f t="shared" si="28"/>
        <v/>
      </c>
      <c r="H470" s="5" t="str">
        <f t="shared" si="29"/>
        <v/>
      </c>
    </row>
    <row r="471" spans="1:8" x14ac:dyDescent="0.25">
      <c r="A471" s="1" t="str">
        <f>IF(OR(A470="",F470=0,A470=Refinance_Calculator!$C$16),"",A470+1)</f>
        <v/>
      </c>
      <c r="B471" s="3" t="str">
        <f t="shared" si="30"/>
        <v/>
      </c>
      <c r="C471" s="3" t="str">
        <f>IF(A471="","",(-PMT(Refinance_Calculator!$C$13/12,Refinance_Calculator!$C$16,Full_Report!$B$86,0,0)))</f>
        <v/>
      </c>
      <c r="D471" s="3" t="str">
        <f t="shared" si="31"/>
        <v/>
      </c>
      <c r="E471" s="3" t="str">
        <f>IF(A471="","",(-PPMT(Refinance_Calculator!$C$13/12,Full_Report!A471,Refinance_Calculator!$C$16,Full_Report!$B$86,0,0)))</f>
        <v/>
      </c>
      <c r="F471" s="3" t="str">
        <f t="shared" si="32"/>
        <v/>
      </c>
      <c r="G471" s="5" t="str">
        <f t="shared" si="28"/>
        <v/>
      </c>
      <c r="H471" s="5" t="str">
        <f t="shared" si="29"/>
        <v/>
      </c>
    </row>
    <row r="472" spans="1:8" x14ac:dyDescent="0.25">
      <c r="A472" s="1" t="str">
        <f>IF(OR(A471="",F471=0,A471=Refinance_Calculator!$C$16),"",A471+1)</f>
        <v/>
      </c>
      <c r="B472" s="3" t="str">
        <f t="shared" si="30"/>
        <v/>
      </c>
      <c r="C472" s="3" t="str">
        <f>IF(A472="","",(-PMT(Refinance_Calculator!$C$13/12,Refinance_Calculator!$C$16,Full_Report!$B$86,0,0)))</f>
        <v/>
      </c>
      <c r="D472" s="3" t="str">
        <f t="shared" si="31"/>
        <v/>
      </c>
      <c r="E472" s="3" t="str">
        <f>IF(A472="","",(-PPMT(Refinance_Calculator!$C$13/12,Full_Report!A472,Refinance_Calculator!$C$16,Full_Report!$B$86,0,0)))</f>
        <v/>
      </c>
      <c r="F472" s="3" t="str">
        <f t="shared" si="32"/>
        <v/>
      </c>
      <c r="G472" s="5" t="str">
        <f t="shared" ref="G472:G535" si="33">+IF(A472="","",(E472+G471))</f>
        <v/>
      </c>
      <c r="H472" s="5" t="str">
        <f t="shared" ref="H472:H535" si="34">+IF(B472="","",(D472+H471))</f>
        <v/>
      </c>
    </row>
    <row r="473" spans="1:8" x14ac:dyDescent="0.25">
      <c r="A473" s="1" t="str">
        <f>IF(OR(A472="",F472=0,A472=Refinance_Calculator!$C$16),"",A472+1)</f>
        <v/>
      </c>
      <c r="B473" s="3" t="str">
        <f t="shared" si="30"/>
        <v/>
      </c>
      <c r="C473" s="3" t="str">
        <f>IF(A473="","",(-PMT(Refinance_Calculator!$C$13/12,Refinance_Calculator!$C$16,Full_Report!$B$86,0,0)))</f>
        <v/>
      </c>
      <c r="D473" s="3" t="str">
        <f t="shared" si="31"/>
        <v/>
      </c>
      <c r="E473" s="3" t="str">
        <f>IF(A473="","",(-PPMT(Refinance_Calculator!$C$13/12,Full_Report!A473,Refinance_Calculator!$C$16,Full_Report!$B$86,0,0)))</f>
        <v/>
      </c>
      <c r="F473" s="3" t="str">
        <f t="shared" si="32"/>
        <v/>
      </c>
      <c r="G473" s="5" t="str">
        <f t="shared" si="33"/>
        <v/>
      </c>
      <c r="H473" s="5" t="str">
        <f t="shared" si="34"/>
        <v/>
      </c>
    </row>
    <row r="474" spans="1:8" x14ac:dyDescent="0.25">
      <c r="A474" s="1" t="str">
        <f>IF(OR(A473="",F473=0,A473=Refinance_Calculator!$C$16),"",A473+1)</f>
        <v/>
      </c>
      <c r="B474" s="3" t="str">
        <f t="shared" si="30"/>
        <v/>
      </c>
      <c r="C474" s="3" t="str">
        <f>IF(A474="","",(-PMT(Refinance_Calculator!$C$13/12,Refinance_Calculator!$C$16,Full_Report!$B$86,0,0)))</f>
        <v/>
      </c>
      <c r="D474" s="3" t="str">
        <f t="shared" si="31"/>
        <v/>
      </c>
      <c r="E474" s="3" t="str">
        <f>IF(A474="","",(-PPMT(Refinance_Calculator!$C$13/12,Full_Report!A474,Refinance_Calculator!$C$16,Full_Report!$B$86,0,0)))</f>
        <v/>
      </c>
      <c r="F474" s="3" t="str">
        <f t="shared" si="32"/>
        <v/>
      </c>
      <c r="G474" s="5" t="str">
        <f t="shared" si="33"/>
        <v/>
      </c>
      <c r="H474" s="5" t="str">
        <f t="shared" si="34"/>
        <v/>
      </c>
    </row>
    <row r="475" spans="1:8" x14ac:dyDescent="0.25">
      <c r="A475" s="1" t="str">
        <f>IF(OR(A474="",F474=0,A474=Refinance_Calculator!$C$16),"",A474+1)</f>
        <v/>
      </c>
      <c r="B475" s="3" t="str">
        <f t="shared" si="30"/>
        <v/>
      </c>
      <c r="C475" s="3" t="str">
        <f>IF(A475="","",(-PMT(Refinance_Calculator!$C$13/12,Refinance_Calculator!$C$16,Full_Report!$B$86,0,0)))</f>
        <v/>
      </c>
      <c r="D475" s="3" t="str">
        <f t="shared" si="31"/>
        <v/>
      </c>
      <c r="E475" s="3" t="str">
        <f>IF(A475="","",(-PPMT(Refinance_Calculator!$C$13/12,Full_Report!A475,Refinance_Calculator!$C$16,Full_Report!$B$86,0,0)))</f>
        <v/>
      </c>
      <c r="F475" s="3" t="str">
        <f t="shared" si="32"/>
        <v/>
      </c>
      <c r="G475" s="5" t="str">
        <f t="shared" si="33"/>
        <v/>
      </c>
      <c r="H475" s="5" t="str">
        <f t="shared" si="34"/>
        <v/>
      </c>
    </row>
    <row r="476" spans="1:8" x14ac:dyDescent="0.25">
      <c r="A476" s="1" t="str">
        <f>IF(OR(A475="",F475=0,A475=Refinance_Calculator!$C$16),"",A475+1)</f>
        <v/>
      </c>
      <c r="B476" s="3" t="str">
        <f t="shared" si="30"/>
        <v/>
      </c>
      <c r="C476" s="3" t="str">
        <f>IF(A476="","",(-PMT(Refinance_Calculator!$C$13/12,Refinance_Calculator!$C$16,Full_Report!$B$86,0,0)))</f>
        <v/>
      </c>
      <c r="D476" s="3" t="str">
        <f t="shared" si="31"/>
        <v/>
      </c>
      <c r="E476" s="3" t="str">
        <f>IF(A476="","",(-PPMT(Refinance_Calculator!$C$13/12,Full_Report!A476,Refinance_Calculator!$C$16,Full_Report!$B$86,0,0)))</f>
        <v/>
      </c>
      <c r="F476" s="3" t="str">
        <f t="shared" si="32"/>
        <v/>
      </c>
      <c r="G476" s="5" t="str">
        <f t="shared" si="33"/>
        <v/>
      </c>
      <c r="H476" s="5" t="str">
        <f t="shared" si="34"/>
        <v/>
      </c>
    </row>
    <row r="477" spans="1:8" x14ac:dyDescent="0.25">
      <c r="A477" s="1" t="str">
        <f>IF(OR(A476="",F476=0,A476=Refinance_Calculator!$C$16),"",A476+1)</f>
        <v/>
      </c>
      <c r="B477" s="3" t="str">
        <f t="shared" si="30"/>
        <v/>
      </c>
      <c r="C477" s="3" t="str">
        <f>IF(A477="","",(-PMT(Refinance_Calculator!$C$13/12,Refinance_Calculator!$C$16,Full_Report!$B$86,0,0)))</f>
        <v/>
      </c>
      <c r="D477" s="3" t="str">
        <f t="shared" si="31"/>
        <v/>
      </c>
      <c r="E477" s="3" t="str">
        <f>IF(A477="","",(-PPMT(Refinance_Calculator!$C$13/12,Full_Report!A477,Refinance_Calculator!$C$16,Full_Report!$B$86,0,0)))</f>
        <v/>
      </c>
      <c r="F477" s="3" t="str">
        <f t="shared" si="32"/>
        <v/>
      </c>
      <c r="G477" s="5" t="str">
        <f t="shared" si="33"/>
        <v/>
      </c>
      <c r="H477" s="5" t="str">
        <f t="shared" si="34"/>
        <v/>
      </c>
    </row>
    <row r="478" spans="1:8" x14ac:dyDescent="0.25">
      <c r="A478" s="1" t="str">
        <f>IF(OR(A477="",F477=0,A477=Refinance_Calculator!$C$16),"",A477+1)</f>
        <v/>
      </c>
      <c r="B478" s="3" t="str">
        <f t="shared" si="30"/>
        <v/>
      </c>
      <c r="C478" s="3" t="str">
        <f>IF(A478="","",(-PMT(Refinance_Calculator!$C$13/12,Refinance_Calculator!$C$16,Full_Report!$B$86,0,0)))</f>
        <v/>
      </c>
      <c r="D478" s="3" t="str">
        <f t="shared" si="31"/>
        <v/>
      </c>
      <c r="E478" s="3" t="str">
        <f>IF(A478="","",(-PPMT(Refinance_Calculator!$C$13/12,Full_Report!A478,Refinance_Calculator!$C$16,Full_Report!$B$86,0,0)))</f>
        <v/>
      </c>
      <c r="F478" s="3" t="str">
        <f t="shared" si="32"/>
        <v/>
      </c>
      <c r="G478" s="5" t="str">
        <f t="shared" si="33"/>
        <v/>
      </c>
      <c r="H478" s="5" t="str">
        <f t="shared" si="34"/>
        <v/>
      </c>
    </row>
    <row r="479" spans="1:8" x14ac:dyDescent="0.25">
      <c r="A479" s="1" t="str">
        <f>IF(OR(A478="",F478=0,A478=Refinance_Calculator!$C$16),"",A478+1)</f>
        <v/>
      </c>
      <c r="B479" s="3" t="str">
        <f t="shared" si="30"/>
        <v/>
      </c>
      <c r="C479" s="3" t="str">
        <f>IF(A479="","",(-PMT(Refinance_Calculator!$C$13/12,Refinance_Calculator!$C$16,Full_Report!$B$86,0,0)))</f>
        <v/>
      </c>
      <c r="D479" s="3" t="str">
        <f t="shared" si="31"/>
        <v/>
      </c>
      <c r="E479" s="3" t="str">
        <f>IF(A479="","",(-PPMT(Refinance_Calculator!$C$13/12,Full_Report!A479,Refinance_Calculator!$C$16,Full_Report!$B$86,0,0)))</f>
        <v/>
      </c>
      <c r="F479" s="3" t="str">
        <f t="shared" si="32"/>
        <v/>
      </c>
      <c r="G479" s="5" t="str">
        <f t="shared" si="33"/>
        <v/>
      </c>
      <c r="H479" s="5" t="str">
        <f t="shared" si="34"/>
        <v/>
      </c>
    </row>
    <row r="480" spans="1:8" x14ac:dyDescent="0.25">
      <c r="A480" s="1" t="str">
        <f>IF(OR(A479="",F479=0,A479=Refinance_Calculator!$C$16),"",A479+1)</f>
        <v/>
      </c>
      <c r="B480" s="3" t="str">
        <f t="shared" si="30"/>
        <v/>
      </c>
      <c r="C480" s="3" t="str">
        <f>IF(A480="","",(-PMT(Refinance_Calculator!$C$13/12,Refinance_Calculator!$C$16,Full_Report!$B$86,0,0)))</f>
        <v/>
      </c>
      <c r="D480" s="3" t="str">
        <f t="shared" si="31"/>
        <v/>
      </c>
      <c r="E480" s="3" t="str">
        <f>IF(A480="","",(-PPMT(Refinance_Calculator!$C$13/12,Full_Report!A480,Refinance_Calculator!$C$16,Full_Report!$B$86,0,0)))</f>
        <v/>
      </c>
      <c r="F480" s="3" t="str">
        <f t="shared" si="32"/>
        <v/>
      </c>
      <c r="G480" s="5" t="str">
        <f t="shared" si="33"/>
        <v/>
      </c>
      <c r="H480" s="5" t="str">
        <f t="shared" si="34"/>
        <v/>
      </c>
    </row>
    <row r="481" spans="1:8" x14ac:dyDescent="0.25">
      <c r="A481" s="1" t="str">
        <f>IF(OR(A480="",F480=0,A480=Refinance_Calculator!$C$16),"",A480+1)</f>
        <v/>
      </c>
      <c r="B481" s="3" t="str">
        <f t="shared" si="30"/>
        <v/>
      </c>
      <c r="C481" s="3" t="str">
        <f>IF(A481="","",(-PMT(Refinance_Calculator!$C$13/12,Refinance_Calculator!$C$16,Full_Report!$B$86,0,0)))</f>
        <v/>
      </c>
      <c r="D481" s="3" t="str">
        <f t="shared" si="31"/>
        <v/>
      </c>
      <c r="E481" s="3" t="str">
        <f>IF(A481="","",(-PPMT(Refinance_Calculator!$C$13/12,Full_Report!A481,Refinance_Calculator!$C$16,Full_Report!$B$86,0,0)))</f>
        <v/>
      </c>
      <c r="F481" s="3" t="str">
        <f t="shared" si="32"/>
        <v/>
      </c>
      <c r="G481" s="5" t="str">
        <f t="shared" si="33"/>
        <v/>
      </c>
      <c r="H481" s="5" t="str">
        <f t="shared" si="34"/>
        <v/>
      </c>
    </row>
    <row r="482" spans="1:8" x14ac:dyDescent="0.25">
      <c r="A482" s="1" t="str">
        <f>IF(OR(A481="",F481=0,A481=Refinance_Calculator!$C$16),"",A481+1)</f>
        <v/>
      </c>
      <c r="B482" s="3" t="str">
        <f t="shared" ref="B482:B545" si="35">IF(A482="","",(F481))</f>
        <v/>
      </c>
      <c r="C482" s="3" t="str">
        <f>IF(A482="","",(-PMT(Refinance_Calculator!$C$13/12,Refinance_Calculator!$C$16,Full_Report!$B$86,0,0)))</f>
        <v/>
      </c>
      <c r="D482" s="3" t="str">
        <f t="shared" ref="D482:D545" si="36">+IF(A482="","",(C482-E482))</f>
        <v/>
      </c>
      <c r="E482" s="3" t="str">
        <f>IF(A482="","",(-PPMT(Refinance_Calculator!$C$13/12,Full_Report!A482,Refinance_Calculator!$C$16,Full_Report!$B$86,0,0)))</f>
        <v/>
      </c>
      <c r="F482" s="3" t="str">
        <f t="shared" ref="F482:F545" si="37">IF(A482="","",(B482-E482))</f>
        <v/>
      </c>
      <c r="G482" s="5" t="str">
        <f t="shared" si="33"/>
        <v/>
      </c>
      <c r="H482" s="5" t="str">
        <f t="shared" si="34"/>
        <v/>
      </c>
    </row>
    <row r="483" spans="1:8" x14ac:dyDescent="0.25">
      <c r="A483" s="1" t="str">
        <f>IF(OR(A482="",F482=0,A482=Refinance_Calculator!$C$16),"",A482+1)</f>
        <v/>
      </c>
      <c r="B483" s="3" t="str">
        <f t="shared" si="35"/>
        <v/>
      </c>
      <c r="C483" s="3" t="str">
        <f>IF(A483="","",(-PMT(Refinance_Calculator!$C$13/12,Refinance_Calculator!$C$16,Full_Report!$B$86,0,0)))</f>
        <v/>
      </c>
      <c r="D483" s="3" t="str">
        <f t="shared" si="36"/>
        <v/>
      </c>
      <c r="E483" s="3" t="str">
        <f>IF(A483="","",(-PPMT(Refinance_Calculator!$C$13/12,Full_Report!A483,Refinance_Calculator!$C$16,Full_Report!$B$86,0,0)))</f>
        <v/>
      </c>
      <c r="F483" s="3" t="str">
        <f t="shared" si="37"/>
        <v/>
      </c>
      <c r="G483" s="5" t="str">
        <f t="shared" si="33"/>
        <v/>
      </c>
      <c r="H483" s="5" t="str">
        <f t="shared" si="34"/>
        <v/>
      </c>
    </row>
    <row r="484" spans="1:8" x14ac:dyDescent="0.25">
      <c r="A484" s="1" t="str">
        <f>IF(OR(A483="",F483=0,A483=Refinance_Calculator!$C$16),"",A483+1)</f>
        <v/>
      </c>
      <c r="B484" s="3" t="str">
        <f t="shared" si="35"/>
        <v/>
      </c>
      <c r="C484" s="3" t="str">
        <f>IF(A484="","",(-PMT(Refinance_Calculator!$C$13/12,Refinance_Calculator!$C$16,Full_Report!$B$86,0,0)))</f>
        <v/>
      </c>
      <c r="D484" s="3" t="str">
        <f t="shared" si="36"/>
        <v/>
      </c>
      <c r="E484" s="3" t="str">
        <f>IF(A484="","",(-PPMT(Refinance_Calculator!$C$13/12,Full_Report!A484,Refinance_Calculator!$C$16,Full_Report!$B$86,0,0)))</f>
        <v/>
      </c>
      <c r="F484" s="3" t="str">
        <f t="shared" si="37"/>
        <v/>
      </c>
      <c r="G484" s="5" t="str">
        <f t="shared" si="33"/>
        <v/>
      </c>
      <c r="H484" s="5" t="str">
        <f t="shared" si="34"/>
        <v/>
      </c>
    </row>
    <row r="485" spans="1:8" x14ac:dyDescent="0.25">
      <c r="A485" s="1" t="str">
        <f>IF(OR(A484="",F484=0,A484=Refinance_Calculator!$C$16),"",A484+1)</f>
        <v/>
      </c>
      <c r="B485" s="3" t="str">
        <f t="shared" si="35"/>
        <v/>
      </c>
      <c r="C485" s="3" t="str">
        <f>IF(A485="","",(-PMT(Refinance_Calculator!$C$13/12,Refinance_Calculator!$C$16,Full_Report!$B$86,0,0)))</f>
        <v/>
      </c>
      <c r="D485" s="3" t="str">
        <f t="shared" si="36"/>
        <v/>
      </c>
      <c r="E485" s="3" t="str">
        <f>IF(A485="","",(-PPMT(Refinance_Calculator!$C$13/12,Full_Report!A485,Refinance_Calculator!$C$16,Full_Report!$B$86,0,0)))</f>
        <v/>
      </c>
      <c r="F485" s="3" t="str">
        <f t="shared" si="37"/>
        <v/>
      </c>
      <c r="G485" s="5" t="str">
        <f t="shared" si="33"/>
        <v/>
      </c>
      <c r="H485" s="5" t="str">
        <f t="shared" si="34"/>
        <v/>
      </c>
    </row>
    <row r="486" spans="1:8" x14ac:dyDescent="0.25">
      <c r="A486" s="1" t="str">
        <f>IF(OR(A485="",F485=0,A485=Refinance_Calculator!$C$16),"",A485+1)</f>
        <v/>
      </c>
      <c r="B486" s="3" t="str">
        <f t="shared" si="35"/>
        <v/>
      </c>
      <c r="C486" s="3" t="str">
        <f>IF(A486="","",(-PMT(Refinance_Calculator!$C$13/12,Refinance_Calculator!$C$16,Full_Report!$B$86,0,0)))</f>
        <v/>
      </c>
      <c r="D486" s="3" t="str">
        <f t="shared" si="36"/>
        <v/>
      </c>
      <c r="E486" s="3" t="str">
        <f>IF(A486="","",(-PPMT(Refinance_Calculator!$C$13/12,Full_Report!A486,Refinance_Calculator!$C$16,Full_Report!$B$86,0,0)))</f>
        <v/>
      </c>
      <c r="F486" s="3" t="str">
        <f t="shared" si="37"/>
        <v/>
      </c>
      <c r="G486" s="5" t="str">
        <f t="shared" si="33"/>
        <v/>
      </c>
      <c r="H486" s="5" t="str">
        <f t="shared" si="34"/>
        <v/>
      </c>
    </row>
    <row r="487" spans="1:8" x14ac:dyDescent="0.25">
      <c r="A487" s="1" t="str">
        <f>IF(OR(A486="",F486=0,A486=Refinance_Calculator!$C$16),"",A486+1)</f>
        <v/>
      </c>
      <c r="B487" s="3" t="str">
        <f t="shared" si="35"/>
        <v/>
      </c>
      <c r="C487" s="3" t="str">
        <f>IF(A487="","",(-PMT(Refinance_Calculator!$C$13/12,Refinance_Calculator!$C$16,Full_Report!$B$86,0,0)))</f>
        <v/>
      </c>
      <c r="D487" s="3" t="str">
        <f t="shared" si="36"/>
        <v/>
      </c>
      <c r="E487" s="3" t="str">
        <f>IF(A487="","",(-PPMT(Refinance_Calculator!$C$13/12,Full_Report!A487,Refinance_Calculator!$C$16,Full_Report!$B$86,0,0)))</f>
        <v/>
      </c>
      <c r="F487" s="3" t="str">
        <f t="shared" si="37"/>
        <v/>
      </c>
      <c r="G487" s="5" t="str">
        <f t="shared" si="33"/>
        <v/>
      </c>
      <c r="H487" s="5" t="str">
        <f t="shared" si="34"/>
        <v/>
      </c>
    </row>
    <row r="488" spans="1:8" x14ac:dyDescent="0.25">
      <c r="A488" s="1" t="str">
        <f>IF(OR(A487="",F487=0,A487=Refinance_Calculator!$C$16),"",A487+1)</f>
        <v/>
      </c>
      <c r="B488" s="3" t="str">
        <f t="shared" si="35"/>
        <v/>
      </c>
      <c r="C488" s="3" t="str">
        <f>IF(A488="","",(-PMT(Refinance_Calculator!$C$13/12,Refinance_Calculator!$C$16,Full_Report!$B$86,0,0)))</f>
        <v/>
      </c>
      <c r="D488" s="3" t="str">
        <f t="shared" si="36"/>
        <v/>
      </c>
      <c r="E488" s="3" t="str">
        <f>IF(A488="","",(-PPMT(Refinance_Calculator!$C$13/12,Full_Report!A488,Refinance_Calculator!$C$16,Full_Report!$B$86,0,0)))</f>
        <v/>
      </c>
      <c r="F488" s="3" t="str">
        <f t="shared" si="37"/>
        <v/>
      </c>
      <c r="G488" s="5" t="str">
        <f t="shared" si="33"/>
        <v/>
      </c>
      <c r="H488" s="5" t="str">
        <f t="shared" si="34"/>
        <v/>
      </c>
    </row>
    <row r="489" spans="1:8" x14ac:dyDescent="0.25">
      <c r="A489" s="1" t="str">
        <f>IF(OR(A488="",F488=0,A488=Refinance_Calculator!$C$16),"",A488+1)</f>
        <v/>
      </c>
      <c r="B489" s="3" t="str">
        <f t="shared" si="35"/>
        <v/>
      </c>
      <c r="C489" s="3" t="str">
        <f>IF(A489="","",(-PMT(Refinance_Calculator!$C$13/12,Refinance_Calculator!$C$16,Full_Report!$B$86,0,0)))</f>
        <v/>
      </c>
      <c r="D489" s="3" t="str">
        <f t="shared" si="36"/>
        <v/>
      </c>
      <c r="E489" s="3" t="str">
        <f>IF(A489="","",(-PPMT(Refinance_Calculator!$C$13/12,Full_Report!A489,Refinance_Calculator!$C$16,Full_Report!$B$86,0,0)))</f>
        <v/>
      </c>
      <c r="F489" s="3" t="str">
        <f t="shared" si="37"/>
        <v/>
      </c>
      <c r="G489" s="5" t="str">
        <f t="shared" si="33"/>
        <v/>
      </c>
      <c r="H489" s="5" t="str">
        <f t="shared" si="34"/>
        <v/>
      </c>
    </row>
    <row r="490" spans="1:8" x14ac:dyDescent="0.25">
      <c r="A490" s="1" t="str">
        <f>IF(OR(A489="",F489=0,A489=Refinance_Calculator!$C$16),"",A489+1)</f>
        <v/>
      </c>
      <c r="B490" s="3" t="str">
        <f t="shared" si="35"/>
        <v/>
      </c>
      <c r="C490" s="3" t="str">
        <f>IF(A490="","",(-PMT(Refinance_Calculator!$C$13/12,Refinance_Calculator!$C$16,Full_Report!$B$86,0,0)))</f>
        <v/>
      </c>
      <c r="D490" s="3" t="str">
        <f t="shared" si="36"/>
        <v/>
      </c>
      <c r="E490" s="3" t="str">
        <f>IF(A490="","",(-PPMT(Refinance_Calculator!$C$13/12,Full_Report!A490,Refinance_Calculator!$C$16,Full_Report!$B$86,0,0)))</f>
        <v/>
      </c>
      <c r="F490" s="3" t="str">
        <f t="shared" si="37"/>
        <v/>
      </c>
      <c r="G490" s="5" t="str">
        <f t="shared" si="33"/>
        <v/>
      </c>
      <c r="H490" s="5" t="str">
        <f t="shared" si="34"/>
        <v/>
      </c>
    </row>
    <row r="491" spans="1:8" x14ac:dyDescent="0.25">
      <c r="A491" s="1" t="str">
        <f>IF(OR(A490="",F490=0,A490=Refinance_Calculator!$C$16),"",A490+1)</f>
        <v/>
      </c>
      <c r="B491" s="3" t="str">
        <f t="shared" si="35"/>
        <v/>
      </c>
      <c r="C491" s="3" t="str">
        <f>IF(A491="","",(-PMT(Refinance_Calculator!$C$13/12,Refinance_Calculator!$C$16,Full_Report!$B$86,0,0)))</f>
        <v/>
      </c>
      <c r="D491" s="3" t="str">
        <f t="shared" si="36"/>
        <v/>
      </c>
      <c r="E491" s="3" t="str">
        <f>IF(A491="","",(-PPMT(Refinance_Calculator!$C$13/12,Full_Report!A491,Refinance_Calculator!$C$16,Full_Report!$B$86,0,0)))</f>
        <v/>
      </c>
      <c r="F491" s="3" t="str">
        <f t="shared" si="37"/>
        <v/>
      </c>
      <c r="G491" s="5" t="str">
        <f t="shared" si="33"/>
        <v/>
      </c>
      <c r="H491" s="5" t="str">
        <f t="shared" si="34"/>
        <v/>
      </c>
    </row>
    <row r="492" spans="1:8" x14ac:dyDescent="0.25">
      <c r="A492" s="1" t="str">
        <f>IF(OR(A491="",F491=0,A491=Refinance_Calculator!$C$16),"",A491+1)</f>
        <v/>
      </c>
      <c r="B492" s="3" t="str">
        <f t="shared" si="35"/>
        <v/>
      </c>
      <c r="C492" s="3" t="str">
        <f>IF(A492="","",(-PMT(Refinance_Calculator!$C$13/12,Refinance_Calculator!$C$16,Full_Report!$B$86,0,0)))</f>
        <v/>
      </c>
      <c r="D492" s="3" t="str">
        <f t="shared" si="36"/>
        <v/>
      </c>
      <c r="E492" s="3" t="str">
        <f>IF(A492="","",(-PPMT(Refinance_Calculator!$C$13/12,Full_Report!A492,Refinance_Calculator!$C$16,Full_Report!$B$86,0,0)))</f>
        <v/>
      </c>
      <c r="F492" s="3" t="str">
        <f t="shared" si="37"/>
        <v/>
      </c>
      <c r="G492" s="5" t="str">
        <f t="shared" si="33"/>
        <v/>
      </c>
      <c r="H492" s="5" t="str">
        <f t="shared" si="34"/>
        <v/>
      </c>
    </row>
    <row r="493" spans="1:8" x14ac:dyDescent="0.25">
      <c r="A493" s="1" t="str">
        <f>IF(OR(A492="",F492=0,A492=Refinance_Calculator!$C$16),"",A492+1)</f>
        <v/>
      </c>
      <c r="B493" s="3" t="str">
        <f t="shared" si="35"/>
        <v/>
      </c>
      <c r="C493" s="3" t="str">
        <f>IF(A493="","",(-PMT(Refinance_Calculator!$C$13/12,Refinance_Calculator!$C$16,Full_Report!$B$86,0,0)))</f>
        <v/>
      </c>
      <c r="D493" s="3" t="str">
        <f t="shared" si="36"/>
        <v/>
      </c>
      <c r="E493" s="3" t="str">
        <f>IF(A493="","",(-PPMT(Refinance_Calculator!$C$13/12,Full_Report!A493,Refinance_Calculator!$C$16,Full_Report!$B$86,0,0)))</f>
        <v/>
      </c>
      <c r="F493" s="3" t="str">
        <f t="shared" si="37"/>
        <v/>
      </c>
      <c r="G493" s="5" t="str">
        <f t="shared" si="33"/>
        <v/>
      </c>
      <c r="H493" s="5" t="str">
        <f t="shared" si="34"/>
        <v/>
      </c>
    </row>
    <row r="494" spans="1:8" x14ac:dyDescent="0.25">
      <c r="A494" s="1" t="str">
        <f>IF(OR(A493="",F493=0,A493=Refinance_Calculator!$C$16),"",A493+1)</f>
        <v/>
      </c>
      <c r="B494" s="3" t="str">
        <f t="shared" si="35"/>
        <v/>
      </c>
      <c r="C494" s="3" t="str">
        <f>IF(A494="","",(-PMT(Refinance_Calculator!$C$13/12,Refinance_Calculator!$C$16,Full_Report!$B$86,0,0)))</f>
        <v/>
      </c>
      <c r="D494" s="3" t="str">
        <f t="shared" si="36"/>
        <v/>
      </c>
      <c r="E494" s="3" t="str">
        <f>IF(A494="","",(-PPMT(Refinance_Calculator!$C$13/12,Full_Report!A494,Refinance_Calculator!$C$16,Full_Report!$B$86,0,0)))</f>
        <v/>
      </c>
      <c r="F494" s="3" t="str">
        <f t="shared" si="37"/>
        <v/>
      </c>
      <c r="G494" s="5" t="str">
        <f t="shared" si="33"/>
        <v/>
      </c>
      <c r="H494" s="5" t="str">
        <f t="shared" si="34"/>
        <v/>
      </c>
    </row>
    <row r="495" spans="1:8" x14ac:dyDescent="0.25">
      <c r="A495" s="1" t="str">
        <f>IF(OR(A494="",F494=0,A494=Refinance_Calculator!$C$16),"",A494+1)</f>
        <v/>
      </c>
      <c r="B495" s="3" t="str">
        <f t="shared" si="35"/>
        <v/>
      </c>
      <c r="C495" s="3" t="str">
        <f>IF(A495="","",(-PMT(Refinance_Calculator!$C$13/12,Refinance_Calculator!$C$16,Full_Report!$B$86,0,0)))</f>
        <v/>
      </c>
      <c r="D495" s="3" t="str">
        <f t="shared" si="36"/>
        <v/>
      </c>
      <c r="E495" s="3" t="str">
        <f>IF(A495="","",(-PPMT(Refinance_Calculator!$C$13/12,Full_Report!A495,Refinance_Calculator!$C$16,Full_Report!$B$86,0,0)))</f>
        <v/>
      </c>
      <c r="F495" s="3" t="str">
        <f t="shared" si="37"/>
        <v/>
      </c>
      <c r="G495" s="5" t="str">
        <f t="shared" si="33"/>
        <v/>
      </c>
      <c r="H495" s="5" t="str">
        <f t="shared" si="34"/>
        <v/>
      </c>
    </row>
    <row r="496" spans="1:8" x14ac:dyDescent="0.25">
      <c r="A496" s="1" t="str">
        <f>IF(OR(A495="",F495=0,A495=Refinance_Calculator!$C$16),"",A495+1)</f>
        <v/>
      </c>
      <c r="B496" s="3" t="str">
        <f t="shared" si="35"/>
        <v/>
      </c>
      <c r="C496" s="3" t="str">
        <f>IF(A496="","",(-PMT(Refinance_Calculator!$C$13/12,Refinance_Calculator!$C$16,Full_Report!$B$86,0,0)))</f>
        <v/>
      </c>
      <c r="D496" s="3" t="str">
        <f t="shared" si="36"/>
        <v/>
      </c>
      <c r="E496" s="3" t="str">
        <f>IF(A496="","",(-PPMT(Refinance_Calculator!$C$13/12,Full_Report!A496,Refinance_Calculator!$C$16,Full_Report!$B$86,0,0)))</f>
        <v/>
      </c>
      <c r="F496" s="3" t="str">
        <f t="shared" si="37"/>
        <v/>
      </c>
      <c r="G496" s="5" t="str">
        <f t="shared" si="33"/>
        <v/>
      </c>
      <c r="H496" s="5" t="str">
        <f t="shared" si="34"/>
        <v/>
      </c>
    </row>
    <row r="497" spans="1:8" x14ac:dyDescent="0.25">
      <c r="A497" s="1" t="str">
        <f>IF(OR(A496="",F496=0,A496=Refinance_Calculator!$C$16),"",A496+1)</f>
        <v/>
      </c>
      <c r="B497" s="3" t="str">
        <f t="shared" si="35"/>
        <v/>
      </c>
      <c r="C497" s="3" t="str">
        <f>IF(A497="","",(-PMT(Refinance_Calculator!$C$13/12,Refinance_Calculator!$C$16,Full_Report!$B$86,0,0)))</f>
        <v/>
      </c>
      <c r="D497" s="3" t="str">
        <f t="shared" si="36"/>
        <v/>
      </c>
      <c r="E497" s="3" t="str">
        <f>IF(A497="","",(-PPMT(Refinance_Calculator!$C$13/12,Full_Report!A497,Refinance_Calculator!$C$16,Full_Report!$B$86,0,0)))</f>
        <v/>
      </c>
      <c r="F497" s="3" t="str">
        <f t="shared" si="37"/>
        <v/>
      </c>
      <c r="G497" s="5" t="str">
        <f t="shared" si="33"/>
        <v/>
      </c>
      <c r="H497" s="5" t="str">
        <f t="shared" si="34"/>
        <v/>
      </c>
    </row>
    <row r="498" spans="1:8" x14ac:dyDescent="0.25">
      <c r="A498" s="1" t="str">
        <f>IF(OR(A497="",F497=0,A497=Refinance_Calculator!$C$16),"",A497+1)</f>
        <v/>
      </c>
      <c r="B498" s="3" t="str">
        <f t="shared" si="35"/>
        <v/>
      </c>
      <c r="C498" s="3" t="str">
        <f>IF(A498="","",(-PMT(Refinance_Calculator!$C$13/12,Refinance_Calculator!$C$16,Full_Report!$B$86,0,0)))</f>
        <v/>
      </c>
      <c r="D498" s="3" t="str">
        <f t="shared" si="36"/>
        <v/>
      </c>
      <c r="E498" s="3" t="str">
        <f>IF(A498="","",(-PPMT(Refinance_Calculator!$C$13/12,Full_Report!A498,Refinance_Calculator!$C$16,Full_Report!$B$86,0,0)))</f>
        <v/>
      </c>
      <c r="F498" s="3" t="str">
        <f t="shared" si="37"/>
        <v/>
      </c>
      <c r="G498" s="5" t="str">
        <f t="shared" si="33"/>
        <v/>
      </c>
      <c r="H498" s="5" t="str">
        <f t="shared" si="34"/>
        <v/>
      </c>
    </row>
    <row r="499" spans="1:8" x14ac:dyDescent="0.25">
      <c r="A499" s="1" t="str">
        <f>IF(OR(A498="",F498=0,A498=Refinance_Calculator!$C$16),"",A498+1)</f>
        <v/>
      </c>
      <c r="B499" s="3" t="str">
        <f t="shared" si="35"/>
        <v/>
      </c>
      <c r="C499" s="3" t="str">
        <f>IF(A499="","",(-PMT(Refinance_Calculator!$C$13/12,Refinance_Calculator!$C$16,Full_Report!$B$86,0,0)))</f>
        <v/>
      </c>
      <c r="D499" s="3" t="str">
        <f t="shared" si="36"/>
        <v/>
      </c>
      <c r="E499" s="3" t="str">
        <f>IF(A499="","",(-PPMT(Refinance_Calculator!$C$13/12,Full_Report!A499,Refinance_Calculator!$C$16,Full_Report!$B$86,0,0)))</f>
        <v/>
      </c>
      <c r="F499" s="3" t="str">
        <f t="shared" si="37"/>
        <v/>
      </c>
      <c r="G499" s="5" t="str">
        <f t="shared" si="33"/>
        <v/>
      </c>
      <c r="H499" s="5" t="str">
        <f t="shared" si="34"/>
        <v/>
      </c>
    </row>
    <row r="500" spans="1:8" x14ac:dyDescent="0.25">
      <c r="A500" s="1" t="str">
        <f>IF(OR(A499="",F499=0,A499=Refinance_Calculator!$C$16),"",A499+1)</f>
        <v/>
      </c>
      <c r="B500" s="3" t="str">
        <f t="shared" si="35"/>
        <v/>
      </c>
      <c r="C500" s="3" t="str">
        <f>IF(A500="","",(-PMT(Refinance_Calculator!$C$13/12,Refinance_Calculator!$C$16,Full_Report!$B$86,0,0)))</f>
        <v/>
      </c>
      <c r="D500" s="3" t="str">
        <f t="shared" si="36"/>
        <v/>
      </c>
      <c r="E500" s="3" t="str">
        <f>IF(A500="","",(-PPMT(Refinance_Calculator!$C$13/12,Full_Report!A500,Refinance_Calculator!$C$16,Full_Report!$B$86,0,0)))</f>
        <v/>
      </c>
      <c r="F500" s="3" t="str">
        <f t="shared" si="37"/>
        <v/>
      </c>
      <c r="G500" s="5" t="str">
        <f t="shared" si="33"/>
        <v/>
      </c>
      <c r="H500" s="5" t="str">
        <f t="shared" si="34"/>
        <v/>
      </c>
    </row>
    <row r="501" spans="1:8" x14ac:dyDescent="0.25">
      <c r="A501" s="1" t="str">
        <f>IF(OR(A500="",F500=0,A500=Refinance_Calculator!$C$16),"",A500+1)</f>
        <v/>
      </c>
      <c r="B501" s="3" t="str">
        <f t="shared" si="35"/>
        <v/>
      </c>
      <c r="C501" s="3" t="str">
        <f>IF(A501="","",(-PMT(Refinance_Calculator!$C$13/12,Refinance_Calculator!$C$16,Full_Report!$B$86,0,0)))</f>
        <v/>
      </c>
      <c r="D501" s="3" t="str">
        <f t="shared" si="36"/>
        <v/>
      </c>
      <c r="E501" s="3" t="str">
        <f>IF(A501="","",(-PPMT(Refinance_Calculator!$C$13/12,Full_Report!A501,Refinance_Calculator!$C$16,Full_Report!$B$86,0,0)))</f>
        <v/>
      </c>
      <c r="F501" s="3" t="str">
        <f t="shared" si="37"/>
        <v/>
      </c>
      <c r="G501" s="5" t="str">
        <f t="shared" si="33"/>
        <v/>
      </c>
      <c r="H501" s="5" t="str">
        <f t="shared" si="34"/>
        <v/>
      </c>
    </row>
    <row r="502" spans="1:8" x14ac:dyDescent="0.25">
      <c r="A502" s="1" t="str">
        <f>IF(OR(A501="",F501=0,A501=Refinance_Calculator!$C$16),"",A501+1)</f>
        <v/>
      </c>
      <c r="B502" s="3" t="str">
        <f t="shared" si="35"/>
        <v/>
      </c>
      <c r="C502" s="3" t="str">
        <f>IF(A502="","",(-PMT(Refinance_Calculator!$C$13/12,Refinance_Calculator!$C$16,Full_Report!$B$86,0,0)))</f>
        <v/>
      </c>
      <c r="D502" s="3" t="str">
        <f t="shared" si="36"/>
        <v/>
      </c>
      <c r="E502" s="3" t="str">
        <f>IF(A502="","",(-PPMT(Refinance_Calculator!$C$13/12,Full_Report!A502,Refinance_Calculator!$C$16,Full_Report!$B$86,0,0)))</f>
        <v/>
      </c>
      <c r="F502" s="3" t="str">
        <f t="shared" si="37"/>
        <v/>
      </c>
      <c r="G502" s="5" t="str">
        <f t="shared" si="33"/>
        <v/>
      </c>
      <c r="H502" s="5" t="str">
        <f t="shared" si="34"/>
        <v/>
      </c>
    </row>
    <row r="503" spans="1:8" x14ac:dyDescent="0.25">
      <c r="A503" s="1" t="str">
        <f>IF(OR(A502="",F502=0,A502=Refinance_Calculator!$C$16),"",A502+1)</f>
        <v/>
      </c>
      <c r="B503" s="3" t="str">
        <f t="shared" si="35"/>
        <v/>
      </c>
      <c r="C503" s="3" t="str">
        <f>IF(A503="","",(-PMT(Refinance_Calculator!$C$13/12,Refinance_Calculator!$C$16,Full_Report!$B$86,0,0)))</f>
        <v/>
      </c>
      <c r="D503" s="3" t="str">
        <f t="shared" si="36"/>
        <v/>
      </c>
      <c r="E503" s="3" t="str">
        <f>IF(A503="","",(-PPMT(Refinance_Calculator!$C$13/12,Full_Report!A503,Refinance_Calculator!$C$16,Full_Report!$B$86,0,0)))</f>
        <v/>
      </c>
      <c r="F503" s="3" t="str">
        <f t="shared" si="37"/>
        <v/>
      </c>
      <c r="G503" s="5" t="str">
        <f t="shared" si="33"/>
        <v/>
      </c>
      <c r="H503" s="5" t="str">
        <f t="shared" si="34"/>
        <v/>
      </c>
    </row>
    <row r="504" spans="1:8" x14ac:dyDescent="0.25">
      <c r="A504" s="1" t="str">
        <f>IF(OR(A503="",F503=0,A503=Refinance_Calculator!$C$16),"",A503+1)</f>
        <v/>
      </c>
      <c r="B504" s="3" t="str">
        <f t="shared" si="35"/>
        <v/>
      </c>
      <c r="C504" s="3" t="str">
        <f>IF(A504="","",(-PMT(Refinance_Calculator!$C$13/12,Refinance_Calculator!$C$16,Full_Report!$B$86,0,0)))</f>
        <v/>
      </c>
      <c r="D504" s="3" t="str">
        <f t="shared" si="36"/>
        <v/>
      </c>
      <c r="E504" s="3" t="str">
        <f>IF(A504="","",(-PPMT(Refinance_Calculator!$C$13/12,Full_Report!A504,Refinance_Calculator!$C$16,Full_Report!$B$86,0,0)))</f>
        <v/>
      </c>
      <c r="F504" s="3" t="str">
        <f t="shared" si="37"/>
        <v/>
      </c>
      <c r="G504" s="5" t="str">
        <f t="shared" si="33"/>
        <v/>
      </c>
      <c r="H504" s="5" t="str">
        <f t="shared" si="34"/>
        <v/>
      </c>
    </row>
    <row r="505" spans="1:8" x14ac:dyDescent="0.25">
      <c r="A505" s="1" t="str">
        <f>IF(OR(A504="",F504=0,A504=Refinance_Calculator!$C$16),"",A504+1)</f>
        <v/>
      </c>
      <c r="B505" s="3" t="str">
        <f t="shared" si="35"/>
        <v/>
      </c>
      <c r="C505" s="3" t="str">
        <f>IF(A505="","",(-PMT(Refinance_Calculator!$C$13/12,Refinance_Calculator!$C$16,Full_Report!$B$86,0,0)))</f>
        <v/>
      </c>
      <c r="D505" s="3" t="str">
        <f t="shared" si="36"/>
        <v/>
      </c>
      <c r="E505" s="3" t="str">
        <f>IF(A505="","",(-PPMT(Refinance_Calculator!$C$13/12,Full_Report!A505,Refinance_Calculator!$C$16,Full_Report!$B$86,0,0)))</f>
        <v/>
      </c>
      <c r="F505" s="3" t="str">
        <f t="shared" si="37"/>
        <v/>
      </c>
      <c r="G505" s="5" t="str">
        <f t="shared" si="33"/>
        <v/>
      </c>
      <c r="H505" s="5" t="str">
        <f t="shared" si="34"/>
        <v/>
      </c>
    </row>
    <row r="506" spans="1:8" x14ac:dyDescent="0.25">
      <c r="A506" s="1" t="str">
        <f>IF(OR(A505="",F505=0,A505=Refinance_Calculator!$C$16),"",A505+1)</f>
        <v/>
      </c>
      <c r="B506" s="3" t="str">
        <f t="shared" si="35"/>
        <v/>
      </c>
      <c r="C506" s="3" t="str">
        <f>IF(A506="","",(-PMT(Refinance_Calculator!$C$13/12,Refinance_Calculator!$C$16,Full_Report!$B$86,0,0)))</f>
        <v/>
      </c>
      <c r="D506" s="3" t="str">
        <f t="shared" si="36"/>
        <v/>
      </c>
      <c r="E506" s="3" t="str">
        <f>IF(A506="","",(-PPMT(Refinance_Calculator!$C$13/12,Full_Report!A506,Refinance_Calculator!$C$16,Full_Report!$B$86,0,0)))</f>
        <v/>
      </c>
      <c r="F506" s="3" t="str">
        <f t="shared" si="37"/>
        <v/>
      </c>
      <c r="G506" s="5" t="str">
        <f t="shared" si="33"/>
        <v/>
      </c>
      <c r="H506" s="5" t="str">
        <f t="shared" si="34"/>
        <v/>
      </c>
    </row>
    <row r="507" spans="1:8" x14ac:dyDescent="0.25">
      <c r="A507" s="1" t="str">
        <f>IF(OR(A506="",F506=0,A506=Refinance_Calculator!$C$16),"",A506+1)</f>
        <v/>
      </c>
      <c r="B507" s="3" t="str">
        <f t="shared" si="35"/>
        <v/>
      </c>
      <c r="C507" s="3" t="str">
        <f>IF(A507="","",(-PMT(Refinance_Calculator!$C$13/12,Refinance_Calculator!$C$16,Full_Report!$B$86,0,0)))</f>
        <v/>
      </c>
      <c r="D507" s="3" t="str">
        <f t="shared" si="36"/>
        <v/>
      </c>
      <c r="E507" s="3" t="str">
        <f>IF(A507="","",(-PPMT(Refinance_Calculator!$C$13/12,Full_Report!A507,Refinance_Calculator!$C$16,Full_Report!$B$86,0,0)))</f>
        <v/>
      </c>
      <c r="F507" s="3" t="str">
        <f t="shared" si="37"/>
        <v/>
      </c>
      <c r="G507" s="5" t="str">
        <f t="shared" si="33"/>
        <v/>
      </c>
      <c r="H507" s="5" t="str">
        <f t="shared" si="34"/>
        <v/>
      </c>
    </row>
    <row r="508" spans="1:8" x14ac:dyDescent="0.25">
      <c r="A508" s="1" t="str">
        <f>IF(OR(A507="",F507=0,A507=Refinance_Calculator!$C$16),"",A507+1)</f>
        <v/>
      </c>
      <c r="B508" s="3" t="str">
        <f t="shared" si="35"/>
        <v/>
      </c>
      <c r="C508" s="3" t="str">
        <f>IF(A508="","",(-PMT(Refinance_Calculator!$C$13/12,Refinance_Calculator!$C$16,Full_Report!$B$86,0,0)))</f>
        <v/>
      </c>
      <c r="D508" s="3" t="str">
        <f t="shared" si="36"/>
        <v/>
      </c>
      <c r="E508" s="3" t="str">
        <f>IF(A508="","",(-PPMT(Refinance_Calculator!$C$13/12,Full_Report!A508,Refinance_Calculator!$C$16,Full_Report!$B$86,0,0)))</f>
        <v/>
      </c>
      <c r="F508" s="3" t="str">
        <f t="shared" si="37"/>
        <v/>
      </c>
      <c r="G508" s="5" t="str">
        <f t="shared" si="33"/>
        <v/>
      </c>
      <c r="H508" s="5" t="str">
        <f t="shared" si="34"/>
        <v/>
      </c>
    </row>
    <row r="509" spans="1:8" x14ac:dyDescent="0.25">
      <c r="A509" s="1" t="str">
        <f>IF(OR(A508="",F508=0,A508=Refinance_Calculator!$C$16),"",A508+1)</f>
        <v/>
      </c>
      <c r="B509" s="3" t="str">
        <f t="shared" si="35"/>
        <v/>
      </c>
      <c r="C509" s="3" t="str">
        <f>IF(A509="","",(-PMT(Refinance_Calculator!$C$13/12,Refinance_Calculator!$C$16,Full_Report!$B$86,0,0)))</f>
        <v/>
      </c>
      <c r="D509" s="3" t="str">
        <f t="shared" si="36"/>
        <v/>
      </c>
      <c r="E509" s="3" t="str">
        <f>IF(A509="","",(-PPMT(Refinance_Calculator!$C$13/12,Full_Report!A509,Refinance_Calculator!$C$16,Full_Report!$B$86,0,0)))</f>
        <v/>
      </c>
      <c r="F509" s="3" t="str">
        <f t="shared" si="37"/>
        <v/>
      </c>
      <c r="G509" s="5" t="str">
        <f t="shared" si="33"/>
        <v/>
      </c>
      <c r="H509" s="5" t="str">
        <f t="shared" si="34"/>
        <v/>
      </c>
    </row>
    <row r="510" spans="1:8" x14ac:dyDescent="0.25">
      <c r="A510" s="1" t="str">
        <f>IF(OR(A509="",F509=0,A509=Refinance_Calculator!$C$16),"",A509+1)</f>
        <v/>
      </c>
      <c r="B510" s="3" t="str">
        <f t="shared" si="35"/>
        <v/>
      </c>
      <c r="C510" s="3" t="str">
        <f>IF(A510="","",(-PMT(Refinance_Calculator!$C$13/12,Refinance_Calculator!$C$16,Full_Report!$B$86,0,0)))</f>
        <v/>
      </c>
      <c r="D510" s="3" t="str">
        <f t="shared" si="36"/>
        <v/>
      </c>
      <c r="E510" s="3" t="str">
        <f>IF(A510="","",(-PPMT(Refinance_Calculator!$C$13/12,Full_Report!A510,Refinance_Calculator!$C$16,Full_Report!$B$86,0,0)))</f>
        <v/>
      </c>
      <c r="F510" s="3" t="str">
        <f t="shared" si="37"/>
        <v/>
      </c>
      <c r="G510" s="5" t="str">
        <f t="shared" si="33"/>
        <v/>
      </c>
      <c r="H510" s="5" t="str">
        <f t="shared" si="34"/>
        <v/>
      </c>
    </row>
    <row r="511" spans="1:8" x14ac:dyDescent="0.25">
      <c r="A511" s="1" t="str">
        <f>IF(OR(A510="",F510=0,A510=Refinance_Calculator!$C$16),"",A510+1)</f>
        <v/>
      </c>
      <c r="B511" s="3" t="str">
        <f t="shared" si="35"/>
        <v/>
      </c>
      <c r="C511" s="3" t="str">
        <f>IF(A511="","",(-PMT(Refinance_Calculator!$C$13/12,Refinance_Calculator!$C$16,Full_Report!$B$86,0,0)))</f>
        <v/>
      </c>
      <c r="D511" s="3" t="str">
        <f t="shared" si="36"/>
        <v/>
      </c>
      <c r="E511" s="3" t="str">
        <f>IF(A511="","",(-PPMT(Refinance_Calculator!$C$13/12,Full_Report!A511,Refinance_Calculator!$C$16,Full_Report!$B$86,0,0)))</f>
        <v/>
      </c>
      <c r="F511" s="3" t="str">
        <f t="shared" si="37"/>
        <v/>
      </c>
      <c r="G511" s="5" t="str">
        <f t="shared" si="33"/>
        <v/>
      </c>
      <c r="H511" s="5" t="str">
        <f t="shared" si="34"/>
        <v/>
      </c>
    </row>
    <row r="512" spans="1:8" x14ac:dyDescent="0.25">
      <c r="A512" s="1" t="str">
        <f>IF(OR(A511="",F511=0,A511=Refinance_Calculator!$C$16),"",A511+1)</f>
        <v/>
      </c>
      <c r="B512" s="3" t="str">
        <f t="shared" si="35"/>
        <v/>
      </c>
      <c r="C512" s="3" t="str">
        <f>IF(A512="","",(-PMT(Refinance_Calculator!$C$13/12,Refinance_Calculator!$C$16,Full_Report!$B$86,0,0)))</f>
        <v/>
      </c>
      <c r="D512" s="3" t="str">
        <f t="shared" si="36"/>
        <v/>
      </c>
      <c r="E512" s="3" t="str">
        <f>IF(A512="","",(-PPMT(Refinance_Calculator!$C$13/12,Full_Report!A512,Refinance_Calculator!$C$16,Full_Report!$B$86,0,0)))</f>
        <v/>
      </c>
      <c r="F512" s="3" t="str">
        <f t="shared" si="37"/>
        <v/>
      </c>
      <c r="G512" s="5" t="str">
        <f t="shared" si="33"/>
        <v/>
      </c>
      <c r="H512" s="5" t="str">
        <f t="shared" si="34"/>
        <v/>
      </c>
    </row>
    <row r="513" spans="1:8" x14ac:dyDescent="0.25">
      <c r="A513" s="1" t="str">
        <f>IF(OR(A512="",F512=0,A512=Refinance_Calculator!$C$16),"",A512+1)</f>
        <v/>
      </c>
      <c r="B513" s="3" t="str">
        <f t="shared" si="35"/>
        <v/>
      </c>
      <c r="C513" s="3" t="str">
        <f>IF(A513="","",(-PMT(Refinance_Calculator!$C$13/12,Refinance_Calculator!$C$16,Full_Report!$B$86,0,0)))</f>
        <v/>
      </c>
      <c r="D513" s="3" t="str">
        <f t="shared" si="36"/>
        <v/>
      </c>
      <c r="E513" s="3" t="str">
        <f>IF(A513="","",(-PPMT(Refinance_Calculator!$C$13/12,Full_Report!A513,Refinance_Calculator!$C$16,Full_Report!$B$86,0,0)))</f>
        <v/>
      </c>
      <c r="F513" s="3" t="str">
        <f t="shared" si="37"/>
        <v/>
      </c>
      <c r="G513" s="5" t="str">
        <f t="shared" si="33"/>
        <v/>
      </c>
      <c r="H513" s="5" t="str">
        <f t="shared" si="34"/>
        <v/>
      </c>
    </row>
    <row r="514" spans="1:8" x14ac:dyDescent="0.25">
      <c r="A514" s="1" t="str">
        <f>IF(OR(A513="",F513=0,A513=Refinance_Calculator!$C$16),"",A513+1)</f>
        <v/>
      </c>
      <c r="B514" s="3" t="str">
        <f t="shared" si="35"/>
        <v/>
      </c>
      <c r="C514" s="3" t="str">
        <f>IF(A514="","",(-PMT(Refinance_Calculator!$C$13/12,Refinance_Calculator!$C$16,Full_Report!$B$86,0,0)))</f>
        <v/>
      </c>
      <c r="D514" s="3" t="str">
        <f t="shared" si="36"/>
        <v/>
      </c>
      <c r="E514" s="3" t="str">
        <f>IF(A514="","",(-PPMT(Refinance_Calculator!$C$13/12,Full_Report!A514,Refinance_Calculator!$C$16,Full_Report!$B$86,0,0)))</f>
        <v/>
      </c>
      <c r="F514" s="3" t="str">
        <f t="shared" si="37"/>
        <v/>
      </c>
      <c r="G514" s="5" t="str">
        <f t="shared" si="33"/>
        <v/>
      </c>
      <c r="H514" s="5" t="str">
        <f t="shared" si="34"/>
        <v/>
      </c>
    </row>
    <row r="515" spans="1:8" x14ac:dyDescent="0.25">
      <c r="A515" s="1" t="str">
        <f>IF(OR(A514="",F514=0,A514=Refinance_Calculator!$C$16),"",A514+1)</f>
        <v/>
      </c>
      <c r="B515" s="3" t="str">
        <f t="shared" si="35"/>
        <v/>
      </c>
      <c r="C515" s="3" t="str">
        <f>IF(A515="","",(-PMT(Refinance_Calculator!$C$13/12,Refinance_Calculator!$C$16,Full_Report!$B$86,0,0)))</f>
        <v/>
      </c>
      <c r="D515" s="3" t="str">
        <f t="shared" si="36"/>
        <v/>
      </c>
      <c r="E515" s="3" t="str">
        <f>IF(A515="","",(-PPMT(Refinance_Calculator!$C$13/12,Full_Report!A515,Refinance_Calculator!$C$16,Full_Report!$B$86,0,0)))</f>
        <v/>
      </c>
      <c r="F515" s="3" t="str">
        <f t="shared" si="37"/>
        <v/>
      </c>
      <c r="G515" s="5" t="str">
        <f t="shared" si="33"/>
        <v/>
      </c>
      <c r="H515" s="5" t="str">
        <f t="shared" si="34"/>
        <v/>
      </c>
    </row>
    <row r="516" spans="1:8" x14ac:dyDescent="0.25">
      <c r="A516" s="1" t="str">
        <f>IF(OR(A515="",F515=0,A515=Refinance_Calculator!$C$16),"",A515+1)</f>
        <v/>
      </c>
      <c r="B516" s="3" t="str">
        <f t="shared" si="35"/>
        <v/>
      </c>
      <c r="C516" s="3" t="str">
        <f>IF(A516="","",(-PMT(Refinance_Calculator!$C$13/12,Refinance_Calculator!$C$16,Full_Report!$B$86,0,0)))</f>
        <v/>
      </c>
      <c r="D516" s="3" t="str">
        <f t="shared" si="36"/>
        <v/>
      </c>
      <c r="E516" s="3" t="str">
        <f>IF(A516="","",(-PPMT(Refinance_Calculator!$C$13/12,Full_Report!A516,Refinance_Calculator!$C$16,Full_Report!$B$86,0,0)))</f>
        <v/>
      </c>
      <c r="F516" s="3" t="str">
        <f t="shared" si="37"/>
        <v/>
      </c>
      <c r="G516" s="5" t="str">
        <f t="shared" si="33"/>
        <v/>
      </c>
      <c r="H516" s="5" t="str">
        <f t="shared" si="34"/>
        <v/>
      </c>
    </row>
    <row r="517" spans="1:8" x14ac:dyDescent="0.25">
      <c r="A517" s="1" t="str">
        <f>IF(OR(A516="",F516=0,A516=Refinance_Calculator!$C$16),"",A516+1)</f>
        <v/>
      </c>
      <c r="B517" s="3" t="str">
        <f t="shared" si="35"/>
        <v/>
      </c>
      <c r="C517" s="3" t="str">
        <f>IF(A517="","",(-PMT(Refinance_Calculator!$C$13/12,Refinance_Calculator!$C$16,Full_Report!$B$86,0,0)))</f>
        <v/>
      </c>
      <c r="D517" s="3" t="str">
        <f t="shared" si="36"/>
        <v/>
      </c>
      <c r="E517" s="3" t="str">
        <f>IF(A517="","",(-PPMT(Refinance_Calculator!$C$13/12,Full_Report!A517,Refinance_Calculator!$C$16,Full_Report!$B$86,0,0)))</f>
        <v/>
      </c>
      <c r="F517" s="3" t="str">
        <f t="shared" si="37"/>
        <v/>
      </c>
      <c r="G517" s="5" t="str">
        <f t="shared" si="33"/>
        <v/>
      </c>
      <c r="H517" s="5" t="str">
        <f t="shared" si="34"/>
        <v/>
      </c>
    </row>
    <row r="518" spans="1:8" x14ac:dyDescent="0.25">
      <c r="A518" s="1" t="str">
        <f>IF(OR(A517="",F517=0,A517=Refinance_Calculator!$C$16),"",A517+1)</f>
        <v/>
      </c>
      <c r="B518" s="3" t="str">
        <f t="shared" si="35"/>
        <v/>
      </c>
      <c r="C518" s="3" t="str">
        <f>IF(A518="","",(-PMT(Refinance_Calculator!$C$13/12,Refinance_Calculator!$C$16,Full_Report!$B$86,0,0)))</f>
        <v/>
      </c>
      <c r="D518" s="3" t="str">
        <f t="shared" si="36"/>
        <v/>
      </c>
      <c r="E518" s="3" t="str">
        <f>IF(A518="","",(-PPMT(Refinance_Calculator!$C$13/12,Full_Report!A518,Refinance_Calculator!$C$16,Full_Report!$B$86,0,0)))</f>
        <v/>
      </c>
      <c r="F518" s="3" t="str">
        <f t="shared" si="37"/>
        <v/>
      </c>
      <c r="G518" s="5" t="str">
        <f t="shared" si="33"/>
        <v/>
      </c>
      <c r="H518" s="5" t="str">
        <f t="shared" si="34"/>
        <v/>
      </c>
    </row>
    <row r="519" spans="1:8" x14ac:dyDescent="0.25">
      <c r="A519" s="1" t="str">
        <f>IF(OR(A518="",F518=0,A518=Refinance_Calculator!$C$16),"",A518+1)</f>
        <v/>
      </c>
      <c r="B519" s="3" t="str">
        <f t="shared" si="35"/>
        <v/>
      </c>
      <c r="C519" s="3" t="str">
        <f>IF(A519="","",(-PMT(Refinance_Calculator!$C$13/12,Refinance_Calculator!$C$16,Full_Report!$B$86,0,0)))</f>
        <v/>
      </c>
      <c r="D519" s="3" t="str">
        <f t="shared" si="36"/>
        <v/>
      </c>
      <c r="E519" s="3" t="str">
        <f>IF(A519="","",(-PPMT(Refinance_Calculator!$C$13/12,Full_Report!A519,Refinance_Calculator!$C$16,Full_Report!$B$86,0,0)))</f>
        <v/>
      </c>
      <c r="F519" s="3" t="str">
        <f t="shared" si="37"/>
        <v/>
      </c>
      <c r="G519" s="5" t="str">
        <f t="shared" si="33"/>
        <v/>
      </c>
      <c r="H519" s="5" t="str">
        <f t="shared" si="34"/>
        <v/>
      </c>
    </row>
    <row r="520" spans="1:8" x14ac:dyDescent="0.25">
      <c r="A520" s="1" t="str">
        <f>IF(OR(A519="",F519=0,A519=Refinance_Calculator!$C$16),"",A519+1)</f>
        <v/>
      </c>
      <c r="B520" s="3" t="str">
        <f t="shared" si="35"/>
        <v/>
      </c>
      <c r="C520" s="3" t="str">
        <f>IF(A520="","",(-PMT(Refinance_Calculator!$C$13/12,Refinance_Calculator!$C$16,Full_Report!$B$86,0,0)))</f>
        <v/>
      </c>
      <c r="D520" s="3" t="str">
        <f t="shared" si="36"/>
        <v/>
      </c>
      <c r="E520" s="3" t="str">
        <f>IF(A520="","",(-PPMT(Refinance_Calculator!$C$13/12,Full_Report!A520,Refinance_Calculator!$C$16,Full_Report!$B$86,0,0)))</f>
        <v/>
      </c>
      <c r="F520" s="3" t="str">
        <f t="shared" si="37"/>
        <v/>
      </c>
      <c r="G520" s="5" t="str">
        <f t="shared" si="33"/>
        <v/>
      </c>
      <c r="H520" s="5" t="str">
        <f t="shared" si="34"/>
        <v/>
      </c>
    </row>
    <row r="521" spans="1:8" x14ac:dyDescent="0.25">
      <c r="A521" s="1" t="str">
        <f>IF(OR(A520="",F520=0,A520=Refinance_Calculator!$C$16),"",A520+1)</f>
        <v/>
      </c>
      <c r="B521" s="3" t="str">
        <f t="shared" si="35"/>
        <v/>
      </c>
      <c r="C521" s="3" t="str">
        <f>IF(A521="","",(-PMT(Refinance_Calculator!$C$13/12,Refinance_Calculator!$C$16,Full_Report!$B$86,0,0)))</f>
        <v/>
      </c>
      <c r="D521" s="3" t="str">
        <f t="shared" si="36"/>
        <v/>
      </c>
      <c r="E521" s="3" t="str">
        <f>IF(A521="","",(-PPMT(Refinance_Calculator!$C$13/12,Full_Report!A521,Refinance_Calculator!$C$16,Full_Report!$B$86,0,0)))</f>
        <v/>
      </c>
      <c r="F521" s="3" t="str">
        <f t="shared" si="37"/>
        <v/>
      </c>
      <c r="G521" s="5" t="str">
        <f t="shared" si="33"/>
        <v/>
      </c>
      <c r="H521" s="5" t="str">
        <f t="shared" si="34"/>
        <v/>
      </c>
    </row>
    <row r="522" spans="1:8" x14ac:dyDescent="0.25">
      <c r="A522" s="1" t="str">
        <f>IF(OR(A521="",F521=0,A521=Refinance_Calculator!$C$16),"",A521+1)</f>
        <v/>
      </c>
      <c r="B522" s="3" t="str">
        <f t="shared" si="35"/>
        <v/>
      </c>
      <c r="C522" s="3" t="str">
        <f>IF(A522="","",(-PMT(Refinance_Calculator!$C$13/12,Refinance_Calculator!$C$16,Full_Report!$B$86,0,0)))</f>
        <v/>
      </c>
      <c r="D522" s="3" t="str">
        <f t="shared" si="36"/>
        <v/>
      </c>
      <c r="E522" s="3" t="str">
        <f>IF(A522="","",(-PPMT(Refinance_Calculator!$C$13/12,Full_Report!A522,Refinance_Calculator!$C$16,Full_Report!$B$86,0,0)))</f>
        <v/>
      </c>
      <c r="F522" s="3" t="str">
        <f t="shared" si="37"/>
        <v/>
      </c>
      <c r="G522" s="5" t="str">
        <f t="shared" si="33"/>
        <v/>
      </c>
      <c r="H522" s="5" t="str">
        <f t="shared" si="34"/>
        <v/>
      </c>
    </row>
    <row r="523" spans="1:8" x14ac:dyDescent="0.25">
      <c r="A523" s="1" t="str">
        <f>IF(OR(A522="",F522=0,A522=Refinance_Calculator!$C$16),"",A522+1)</f>
        <v/>
      </c>
      <c r="B523" s="3" t="str">
        <f t="shared" si="35"/>
        <v/>
      </c>
      <c r="C523" s="3" t="str">
        <f>IF(A523="","",(-PMT(Refinance_Calculator!$C$13/12,Refinance_Calculator!$C$16,Full_Report!$B$86,0,0)))</f>
        <v/>
      </c>
      <c r="D523" s="3" t="str">
        <f t="shared" si="36"/>
        <v/>
      </c>
      <c r="E523" s="3" t="str">
        <f>IF(A523="","",(-PPMT(Refinance_Calculator!$C$13/12,Full_Report!A523,Refinance_Calculator!$C$16,Full_Report!$B$86,0,0)))</f>
        <v/>
      </c>
      <c r="F523" s="3" t="str">
        <f t="shared" si="37"/>
        <v/>
      </c>
      <c r="G523" s="5" t="str">
        <f t="shared" si="33"/>
        <v/>
      </c>
      <c r="H523" s="5" t="str">
        <f t="shared" si="34"/>
        <v/>
      </c>
    </row>
    <row r="524" spans="1:8" x14ac:dyDescent="0.25">
      <c r="A524" s="1" t="str">
        <f>IF(OR(A523="",F523=0,A523=Refinance_Calculator!$C$16),"",A523+1)</f>
        <v/>
      </c>
      <c r="B524" s="3" t="str">
        <f t="shared" si="35"/>
        <v/>
      </c>
      <c r="C524" s="3" t="str">
        <f>IF(A524="","",(-PMT(Refinance_Calculator!$C$13/12,Refinance_Calculator!$C$16,Full_Report!$B$86,0,0)))</f>
        <v/>
      </c>
      <c r="D524" s="3" t="str">
        <f t="shared" si="36"/>
        <v/>
      </c>
      <c r="E524" s="3" t="str">
        <f>IF(A524="","",(-PPMT(Refinance_Calculator!$C$13/12,Full_Report!A524,Refinance_Calculator!$C$16,Full_Report!$B$86,0,0)))</f>
        <v/>
      </c>
      <c r="F524" s="3" t="str">
        <f t="shared" si="37"/>
        <v/>
      </c>
      <c r="G524" s="5" t="str">
        <f t="shared" si="33"/>
        <v/>
      </c>
      <c r="H524" s="5" t="str">
        <f t="shared" si="34"/>
        <v/>
      </c>
    </row>
    <row r="525" spans="1:8" x14ac:dyDescent="0.25">
      <c r="A525" s="1" t="str">
        <f>IF(OR(A524="",F524=0,A524=Refinance_Calculator!$C$16),"",A524+1)</f>
        <v/>
      </c>
      <c r="B525" s="3" t="str">
        <f t="shared" si="35"/>
        <v/>
      </c>
      <c r="C525" s="3" t="str">
        <f>IF(A525="","",(-PMT(Refinance_Calculator!$C$13/12,Refinance_Calculator!$C$16,Full_Report!$B$86,0,0)))</f>
        <v/>
      </c>
      <c r="D525" s="3" t="str">
        <f t="shared" si="36"/>
        <v/>
      </c>
      <c r="E525" s="3" t="str">
        <f>IF(A525="","",(-PPMT(Refinance_Calculator!$C$13/12,Full_Report!A525,Refinance_Calculator!$C$16,Full_Report!$B$86,0,0)))</f>
        <v/>
      </c>
      <c r="F525" s="3" t="str">
        <f t="shared" si="37"/>
        <v/>
      </c>
      <c r="G525" s="5" t="str">
        <f t="shared" si="33"/>
        <v/>
      </c>
      <c r="H525" s="5" t="str">
        <f t="shared" si="34"/>
        <v/>
      </c>
    </row>
    <row r="526" spans="1:8" x14ac:dyDescent="0.25">
      <c r="A526" s="1" t="str">
        <f>IF(OR(A525="",F525=0,A525=Refinance_Calculator!$C$16),"",A525+1)</f>
        <v/>
      </c>
      <c r="B526" s="3" t="str">
        <f t="shared" si="35"/>
        <v/>
      </c>
      <c r="C526" s="3" t="str">
        <f>IF(A526="","",(-PMT(Refinance_Calculator!$C$13/12,Refinance_Calculator!$C$16,Full_Report!$B$86,0,0)))</f>
        <v/>
      </c>
      <c r="D526" s="3" t="str">
        <f t="shared" si="36"/>
        <v/>
      </c>
      <c r="E526" s="3" t="str">
        <f>IF(A526="","",(-PPMT(Refinance_Calculator!$C$13/12,Full_Report!A526,Refinance_Calculator!$C$16,Full_Report!$B$86,0,0)))</f>
        <v/>
      </c>
      <c r="F526" s="3" t="str">
        <f t="shared" si="37"/>
        <v/>
      </c>
      <c r="G526" s="5" t="str">
        <f t="shared" si="33"/>
        <v/>
      </c>
      <c r="H526" s="5" t="str">
        <f t="shared" si="34"/>
        <v/>
      </c>
    </row>
    <row r="527" spans="1:8" x14ac:dyDescent="0.25">
      <c r="A527" s="1" t="str">
        <f>IF(OR(A526="",F526=0,A526=Refinance_Calculator!$C$16),"",A526+1)</f>
        <v/>
      </c>
      <c r="B527" s="3" t="str">
        <f t="shared" si="35"/>
        <v/>
      </c>
      <c r="C527" s="3" t="str">
        <f>IF(A527="","",(-PMT(Refinance_Calculator!$C$13/12,Refinance_Calculator!$C$16,Full_Report!$B$86,0,0)))</f>
        <v/>
      </c>
      <c r="D527" s="3" t="str">
        <f t="shared" si="36"/>
        <v/>
      </c>
      <c r="E527" s="3" t="str">
        <f>IF(A527="","",(-PPMT(Refinance_Calculator!$C$13/12,Full_Report!A527,Refinance_Calculator!$C$16,Full_Report!$B$86,0,0)))</f>
        <v/>
      </c>
      <c r="F527" s="3" t="str">
        <f t="shared" si="37"/>
        <v/>
      </c>
      <c r="G527" s="5" t="str">
        <f t="shared" si="33"/>
        <v/>
      </c>
      <c r="H527" s="5" t="str">
        <f t="shared" si="34"/>
        <v/>
      </c>
    </row>
    <row r="528" spans="1:8" x14ac:dyDescent="0.25">
      <c r="A528" s="1" t="str">
        <f>IF(OR(A527="",F527=0,A527=Refinance_Calculator!$C$16),"",A527+1)</f>
        <v/>
      </c>
      <c r="B528" s="3" t="str">
        <f t="shared" si="35"/>
        <v/>
      </c>
      <c r="C528" s="3" t="str">
        <f>IF(A528="","",(-PMT(Refinance_Calculator!$C$13/12,Refinance_Calculator!$C$16,Full_Report!$B$86,0,0)))</f>
        <v/>
      </c>
      <c r="D528" s="3" t="str">
        <f t="shared" si="36"/>
        <v/>
      </c>
      <c r="E528" s="3" t="str">
        <f>IF(A528="","",(-PPMT(Refinance_Calculator!$C$13/12,Full_Report!A528,Refinance_Calculator!$C$16,Full_Report!$B$86,0,0)))</f>
        <v/>
      </c>
      <c r="F528" s="3" t="str">
        <f t="shared" si="37"/>
        <v/>
      </c>
      <c r="G528" s="5" t="str">
        <f t="shared" si="33"/>
        <v/>
      </c>
      <c r="H528" s="5" t="str">
        <f t="shared" si="34"/>
        <v/>
      </c>
    </row>
    <row r="529" spans="1:8" x14ac:dyDescent="0.25">
      <c r="A529" s="1" t="str">
        <f>IF(OR(A528="",F528=0,A528=Refinance_Calculator!$C$16),"",A528+1)</f>
        <v/>
      </c>
      <c r="B529" s="3" t="str">
        <f t="shared" si="35"/>
        <v/>
      </c>
      <c r="C529" s="3" t="str">
        <f>IF(A529="","",(-PMT(Refinance_Calculator!$C$13/12,Refinance_Calculator!$C$16,Full_Report!$B$86,0,0)))</f>
        <v/>
      </c>
      <c r="D529" s="3" t="str">
        <f t="shared" si="36"/>
        <v/>
      </c>
      <c r="E529" s="3" t="str">
        <f>IF(A529="","",(-PPMT(Refinance_Calculator!$C$13/12,Full_Report!A529,Refinance_Calculator!$C$16,Full_Report!$B$86,0,0)))</f>
        <v/>
      </c>
      <c r="F529" s="3" t="str">
        <f t="shared" si="37"/>
        <v/>
      </c>
      <c r="G529" s="5" t="str">
        <f t="shared" si="33"/>
        <v/>
      </c>
      <c r="H529" s="5" t="str">
        <f t="shared" si="34"/>
        <v/>
      </c>
    </row>
    <row r="530" spans="1:8" x14ac:dyDescent="0.25">
      <c r="A530" s="1" t="str">
        <f>IF(OR(A529="",F529=0,A529=Refinance_Calculator!$C$16),"",A529+1)</f>
        <v/>
      </c>
      <c r="B530" s="3" t="str">
        <f t="shared" si="35"/>
        <v/>
      </c>
      <c r="C530" s="3" t="str">
        <f>IF(A530="","",(-PMT(Refinance_Calculator!$C$13/12,Refinance_Calculator!$C$16,Full_Report!$B$86,0,0)))</f>
        <v/>
      </c>
      <c r="D530" s="3" t="str">
        <f t="shared" si="36"/>
        <v/>
      </c>
      <c r="E530" s="3" t="str">
        <f>IF(A530="","",(-PPMT(Refinance_Calculator!$C$13/12,Full_Report!A530,Refinance_Calculator!$C$16,Full_Report!$B$86,0,0)))</f>
        <v/>
      </c>
      <c r="F530" s="3" t="str">
        <f t="shared" si="37"/>
        <v/>
      </c>
      <c r="G530" s="5" t="str">
        <f t="shared" si="33"/>
        <v/>
      </c>
      <c r="H530" s="5" t="str">
        <f t="shared" si="34"/>
        <v/>
      </c>
    </row>
    <row r="531" spans="1:8" x14ac:dyDescent="0.25">
      <c r="A531" s="1" t="str">
        <f>IF(OR(A530="",F530=0,A530=Refinance_Calculator!$C$16),"",A530+1)</f>
        <v/>
      </c>
      <c r="B531" s="3" t="str">
        <f t="shared" si="35"/>
        <v/>
      </c>
      <c r="C531" s="3" t="str">
        <f>IF(A531="","",(-PMT(Refinance_Calculator!$C$13/12,Refinance_Calculator!$C$16,Full_Report!$B$86,0,0)))</f>
        <v/>
      </c>
      <c r="D531" s="3" t="str">
        <f t="shared" si="36"/>
        <v/>
      </c>
      <c r="E531" s="3" t="str">
        <f>IF(A531="","",(-PPMT(Refinance_Calculator!$C$13/12,Full_Report!A531,Refinance_Calculator!$C$16,Full_Report!$B$86,0,0)))</f>
        <v/>
      </c>
      <c r="F531" s="3" t="str">
        <f t="shared" si="37"/>
        <v/>
      </c>
      <c r="G531" s="5" t="str">
        <f t="shared" si="33"/>
        <v/>
      </c>
      <c r="H531" s="5" t="str">
        <f t="shared" si="34"/>
        <v/>
      </c>
    </row>
    <row r="532" spans="1:8" x14ac:dyDescent="0.25">
      <c r="A532" s="1" t="str">
        <f>IF(OR(A531="",F531=0,A531=Refinance_Calculator!$C$16),"",A531+1)</f>
        <v/>
      </c>
      <c r="B532" s="3" t="str">
        <f t="shared" si="35"/>
        <v/>
      </c>
      <c r="C532" s="3" t="str">
        <f>IF(A532="","",(-PMT(Refinance_Calculator!$C$13/12,Refinance_Calculator!$C$16,Full_Report!$B$86,0,0)))</f>
        <v/>
      </c>
      <c r="D532" s="3" t="str">
        <f t="shared" si="36"/>
        <v/>
      </c>
      <c r="E532" s="3" t="str">
        <f>IF(A532="","",(-PPMT(Refinance_Calculator!$C$13/12,Full_Report!A532,Refinance_Calculator!$C$16,Full_Report!$B$86,0,0)))</f>
        <v/>
      </c>
      <c r="F532" s="3" t="str">
        <f t="shared" si="37"/>
        <v/>
      </c>
      <c r="G532" s="5" t="str">
        <f t="shared" si="33"/>
        <v/>
      </c>
      <c r="H532" s="5" t="str">
        <f t="shared" si="34"/>
        <v/>
      </c>
    </row>
    <row r="533" spans="1:8" x14ac:dyDescent="0.25">
      <c r="A533" s="1" t="str">
        <f>IF(OR(A532="",F532=0,A532=Refinance_Calculator!$C$16),"",A532+1)</f>
        <v/>
      </c>
      <c r="B533" s="3" t="str">
        <f t="shared" si="35"/>
        <v/>
      </c>
      <c r="C533" s="3" t="str">
        <f>IF(A533="","",(-PMT(Refinance_Calculator!$C$13/12,Refinance_Calculator!$C$16,Full_Report!$B$86,0,0)))</f>
        <v/>
      </c>
      <c r="D533" s="3" t="str">
        <f t="shared" si="36"/>
        <v/>
      </c>
      <c r="E533" s="3" t="str">
        <f>IF(A533="","",(-PPMT(Refinance_Calculator!$C$13/12,Full_Report!A533,Refinance_Calculator!$C$16,Full_Report!$B$86,0,0)))</f>
        <v/>
      </c>
      <c r="F533" s="3" t="str">
        <f t="shared" si="37"/>
        <v/>
      </c>
      <c r="G533" s="5" t="str">
        <f t="shared" si="33"/>
        <v/>
      </c>
      <c r="H533" s="5" t="str">
        <f t="shared" si="34"/>
        <v/>
      </c>
    </row>
    <row r="534" spans="1:8" x14ac:dyDescent="0.25">
      <c r="A534" s="1" t="str">
        <f>IF(OR(A533="",F533=0,A533=Refinance_Calculator!$C$16),"",A533+1)</f>
        <v/>
      </c>
      <c r="B534" s="3" t="str">
        <f t="shared" si="35"/>
        <v/>
      </c>
      <c r="C534" s="3" t="str">
        <f>IF(A534="","",(-PMT(Refinance_Calculator!$C$13/12,Refinance_Calculator!$C$16,Full_Report!$B$86,0,0)))</f>
        <v/>
      </c>
      <c r="D534" s="3" t="str">
        <f t="shared" si="36"/>
        <v/>
      </c>
      <c r="E534" s="3" t="str">
        <f>IF(A534="","",(-PPMT(Refinance_Calculator!$C$13/12,Full_Report!A534,Refinance_Calculator!$C$16,Full_Report!$B$86,0,0)))</f>
        <v/>
      </c>
      <c r="F534" s="3" t="str">
        <f t="shared" si="37"/>
        <v/>
      </c>
      <c r="G534" s="5" t="str">
        <f t="shared" si="33"/>
        <v/>
      </c>
      <c r="H534" s="5" t="str">
        <f t="shared" si="34"/>
        <v/>
      </c>
    </row>
    <row r="535" spans="1:8" x14ac:dyDescent="0.25">
      <c r="A535" s="1" t="str">
        <f>IF(OR(A534="",F534=0,A534=Refinance_Calculator!$C$16),"",A534+1)</f>
        <v/>
      </c>
      <c r="B535" s="3" t="str">
        <f t="shared" si="35"/>
        <v/>
      </c>
      <c r="C535" s="3" t="str">
        <f>IF(A535="","",(-PMT(Refinance_Calculator!$C$13/12,Refinance_Calculator!$C$16,Full_Report!$B$86,0,0)))</f>
        <v/>
      </c>
      <c r="D535" s="3" t="str">
        <f t="shared" si="36"/>
        <v/>
      </c>
      <c r="E535" s="3" t="str">
        <f>IF(A535="","",(-PPMT(Refinance_Calculator!$C$13/12,Full_Report!A535,Refinance_Calculator!$C$16,Full_Report!$B$86,0,0)))</f>
        <v/>
      </c>
      <c r="F535" s="3" t="str">
        <f t="shared" si="37"/>
        <v/>
      </c>
      <c r="G535" s="5" t="str">
        <f t="shared" si="33"/>
        <v/>
      </c>
      <c r="H535" s="5" t="str">
        <f t="shared" si="34"/>
        <v/>
      </c>
    </row>
    <row r="536" spans="1:8" x14ac:dyDescent="0.25">
      <c r="A536" s="1" t="str">
        <f>IF(OR(A535="",F535=0,A535=Refinance_Calculator!$C$16),"",A535+1)</f>
        <v/>
      </c>
      <c r="B536" s="3" t="str">
        <f t="shared" si="35"/>
        <v/>
      </c>
      <c r="C536" s="3" t="str">
        <f>IF(A536="","",(-PMT(Refinance_Calculator!$C$13/12,Refinance_Calculator!$C$16,Full_Report!$B$86,0,0)))</f>
        <v/>
      </c>
      <c r="D536" s="3" t="str">
        <f t="shared" si="36"/>
        <v/>
      </c>
      <c r="E536" s="3" t="str">
        <f>IF(A536="","",(-PPMT(Refinance_Calculator!$C$13/12,Full_Report!A536,Refinance_Calculator!$C$16,Full_Report!$B$86,0,0)))</f>
        <v/>
      </c>
      <c r="F536" s="3" t="str">
        <f t="shared" si="37"/>
        <v/>
      </c>
      <c r="G536" s="5" t="str">
        <f t="shared" ref="G536:G599" si="38">+IF(A536="","",(E536+G535))</f>
        <v/>
      </c>
      <c r="H536" s="5" t="str">
        <f t="shared" ref="H536:H599" si="39">+IF(B536="","",(D536+H535))</f>
        <v/>
      </c>
    </row>
    <row r="537" spans="1:8" x14ac:dyDescent="0.25">
      <c r="A537" s="1" t="str">
        <f>IF(OR(A536="",F536=0,A536=Refinance_Calculator!$C$16),"",A536+1)</f>
        <v/>
      </c>
      <c r="B537" s="3" t="str">
        <f t="shared" si="35"/>
        <v/>
      </c>
      <c r="C537" s="3" t="str">
        <f>IF(A537="","",(-PMT(Refinance_Calculator!$C$13/12,Refinance_Calculator!$C$16,Full_Report!$B$86,0,0)))</f>
        <v/>
      </c>
      <c r="D537" s="3" t="str">
        <f t="shared" si="36"/>
        <v/>
      </c>
      <c r="E537" s="3" t="str">
        <f>IF(A537="","",(-PPMT(Refinance_Calculator!$C$13/12,Full_Report!A537,Refinance_Calculator!$C$16,Full_Report!$B$86,0,0)))</f>
        <v/>
      </c>
      <c r="F537" s="3" t="str">
        <f t="shared" si="37"/>
        <v/>
      </c>
      <c r="G537" s="5" t="str">
        <f t="shared" si="38"/>
        <v/>
      </c>
      <c r="H537" s="5" t="str">
        <f t="shared" si="39"/>
        <v/>
      </c>
    </row>
    <row r="538" spans="1:8" x14ac:dyDescent="0.25">
      <c r="A538" s="1" t="str">
        <f>IF(OR(A537="",F537=0,A537=Refinance_Calculator!$C$16),"",A537+1)</f>
        <v/>
      </c>
      <c r="B538" s="3" t="str">
        <f t="shared" si="35"/>
        <v/>
      </c>
      <c r="C538" s="3" t="str">
        <f>IF(A538="","",(-PMT(Refinance_Calculator!$C$13/12,Refinance_Calculator!$C$16,Full_Report!$B$86,0,0)))</f>
        <v/>
      </c>
      <c r="D538" s="3" t="str">
        <f t="shared" si="36"/>
        <v/>
      </c>
      <c r="E538" s="3" t="str">
        <f>IF(A538="","",(-PPMT(Refinance_Calculator!$C$13/12,Full_Report!A538,Refinance_Calculator!$C$16,Full_Report!$B$86,0,0)))</f>
        <v/>
      </c>
      <c r="F538" s="3" t="str">
        <f t="shared" si="37"/>
        <v/>
      </c>
      <c r="G538" s="5" t="str">
        <f t="shared" si="38"/>
        <v/>
      </c>
      <c r="H538" s="5" t="str">
        <f t="shared" si="39"/>
        <v/>
      </c>
    </row>
    <row r="539" spans="1:8" x14ac:dyDescent="0.25">
      <c r="A539" s="1" t="str">
        <f>IF(OR(A538="",F538=0,A538=Refinance_Calculator!$C$16),"",A538+1)</f>
        <v/>
      </c>
      <c r="B539" s="3" t="str">
        <f t="shared" si="35"/>
        <v/>
      </c>
      <c r="C539" s="3" t="str">
        <f>IF(A539="","",(-PMT(Refinance_Calculator!$C$13/12,Refinance_Calculator!$C$16,Full_Report!$B$86,0,0)))</f>
        <v/>
      </c>
      <c r="D539" s="3" t="str">
        <f t="shared" si="36"/>
        <v/>
      </c>
      <c r="E539" s="3" t="str">
        <f>IF(A539="","",(-PPMT(Refinance_Calculator!$C$13/12,Full_Report!A539,Refinance_Calculator!$C$16,Full_Report!$B$86,0,0)))</f>
        <v/>
      </c>
      <c r="F539" s="3" t="str">
        <f t="shared" si="37"/>
        <v/>
      </c>
      <c r="G539" s="5" t="str">
        <f t="shared" si="38"/>
        <v/>
      </c>
      <c r="H539" s="5" t="str">
        <f t="shared" si="39"/>
        <v/>
      </c>
    </row>
    <row r="540" spans="1:8" x14ac:dyDescent="0.25">
      <c r="A540" s="1" t="str">
        <f>IF(OR(A539="",F539=0,A539=Refinance_Calculator!$C$16),"",A539+1)</f>
        <v/>
      </c>
      <c r="B540" s="3" t="str">
        <f t="shared" si="35"/>
        <v/>
      </c>
      <c r="C540" s="3" t="str">
        <f>IF(A540="","",(-PMT(Refinance_Calculator!$C$13/12,Refinance_Calculator!$C$16,Full_Report!$B$86,0,0)))</f>
        <v/>
      </c>
      <c r="D540" s="3" t="str">
        <f t="shared" si="36"/>
        <v/>
      </c>
      <c r="E540" s="3" t="str">
        <f>IF(A540="","",(-PPMT(Refinance_Calculator!$C$13/12,Full_Report!A540,Refinance_Calculator!$C$16,Full_Report!$B$86,0,0)))</f>
        <v/>
      </c>
      <c r="F540" s="3" t="str">
        <f t="shared" si="37"/>
        <v/>
      </c>
      <c r="G540" s="5" t="str">
        <f t="shared" si="38"/>
        <v/>
      </c>
      <c r="H540" s="5" t="str">
        <f t="shared" si="39"/>
        <v/>
      </c>
    </row>
    <row r="541" spans="1:8" x14ac:dyDescent="0.25">
      <c r="A541" s="1" t="str">
        <f>IF(OR(A540="",F540=0,A540=Refinance_Calculator!$C$16),"",A540+1)</f>
        <v/>
      </c>
      <c r="B541" s="3" t="str">
        <f t="shared" si="35"/>
        <v/>
      </c>
      <c r="C541" s="3" t="str">
        <f>IF(A541="","",(-PMT(Refinance_Calculator!$C$13/12,Refinance_Calculator!$C$16,Full_Report!$B$86,0,0)))</f>
        <v/>
      </c>
      <c r="D541" s="3" t="str">
        <f t="shared" si="36"/>
        <v/>
      </c>
      <c r="E541" s="3" t="str">
        <f>IF(A541="","",(-PPMT(Refinance_Calculator!$C$13/12,Full_Report!A541,Refinance_Calculator!$C$16,Full_Report!$B$86,0,0)))</f>
        <v/>
      </c>
      <c r="F541" s="3" t="str">
        <f t="shared" si="37"/>
        <v/>
      </c>
      <c r="G541" s="5" t="str">
        <f t="shared" si="38"/>
        <v/>
      </c>
      <c r="H541" s="5" t="str">
        <f t="shared" si="39"/>
        <v/>
      </c>
    </row>
    <row r="542" spans="1:8" x14ac:dyDescent="0.25">
      <c r="A542" s="1" t="str">
        <f>IF(OR(A541="",F541=0,A541=Refinance_Calculator!$C$16),"",A541+1)</f>
        <v/>
      </c>
      <c r="B542" s="3" t="str">
        <f t="shared" si="35"/>
        <v/>
      </c>
      <c r="C542" s="3" t="str">
        <f>IF(A542="","",(-PMT(Refinance_Calculator!$C$13/12,Refinance_Calculator!$C$16,Full_Report!$B$86,0,0)))</f>
        <v/>
      </c>
      <c r="D542" s="3" t="str">
        <f t="shared" si="36"/>
        <v/>
      </c>
      <c r="E542" s="3" t="str">
        <f>IF(A542="","",(-PPMT(Refinance_Calculator!$C$13/12,Full_Report!A542,Refinance_Calculator!$C$16,Full_Report!$B$86,0,0)))</f>
        <v/>
      </c>
      <c r="F542" s="3" t="str">
        <f t="shared" si="37"/>
        <v/>
      </c>
      <c r="G542" s="5" t="str">
        <f t="shared" si="38"/>
        <v/>
      </c>
      <c r="H542" s="5" t="str">
        <f t="shared" si="39"/>
        <v/>
      </c>
    </row>
    <row r="543" spans="1:8" x14ac:dyDescent="0.25">
      <c r="A543" s="1" t="str">
        <f>IF(OR(A542="",F542=0,A542=Refinance_Calculator!$C$16),"",A542+1)</f>
        <v/>
      </c>
      <c r="B543" s="3" t="str">
        <f t="shared" si="35"/>
        <v/>
      </c>
      <c r="C543" s="3" t="str">
        <f>IF(A543="","",(-PMT(Refinance_Calculator!$C$13/12,Refinance_Calculator!$C$16,Full_Report!$B$86,0,0)))</f>
        <v/>
      </c>
      <c r="D543" s="3" t="str">
        <f t="shared" si="36"/>
        <v/>
      </c>
      <c r="E543" s="3" t="str">
        <f>IF(A543="","",(-PPMT(Refinance_Calculator!$C$13/12,Full_Report!A543,Refinance_Calculator!$C$16,Full_Report!$B$86,0,0)))</f>
        <v/>
      </c>
      <c r="F543" s="3" t="str">
        <f t="shared" si="37"/>
        <v/>
      </c>
      <c r="G543" s="5" t="str">
        <f t="shared" si="38"/>
        <v/>
      </c>
      <c r="H543" s="5" t="str">
        <f t="shared" si="39"/>
        <v/>
      </c>
    </row>
    <row r="544" spans="1:8" x14ac:dyDescent="0.25">
      <c r="A544" s="1" t="str">
        <f>IF(OR(A543="",F543=0,A543=Refinance_Calculator!$C$16),"",A543+1)</f>
        <v/>
      </c>
      <c r="B544" s="3" t="str">
        <f t="shared" si="35"/>
        <v/>
      </c>
      <c r="C544" s="3" t="str">
        <f>IF(A544="","",(-PMT(Refinance_Calculator!$C$13/12,Refinance_Calculator!$C$16,Full_Report!$B$86,0,0)))</f>
        <v/>
      </c>
      <c r="D544" s="3" t="str">
        <f t="shared" si="36"/>
        <v/>
      </c>
      <c r="E544" s="3" t="str">
        <f>IF(A544="","",(-PPMT(Refinance_Calculator!$C$13/12,Full_Report!A544,Refinance_Calculator!$C$16,Full_Report!$B$86,0,0)))</f>
        <v/>
      </c>
      <c r="F544" s="3" t="str">
        <f t="shared" si="37"/>
        <v/>
      </c>
      <c r="G544" s="5" t="str">
        <f t="shared" si="38"/>
        <v/>
      </c>
      <c r="H544" s="5" t="str">
        <f t="shared" si="39"/>
        <v/>
      </c>
    </row>
    <row r="545" spans="1:8" x14ac:dyDescent="0.25">
      <c r="A545" s="1" t="str">
        <f>IF(OR(A544="",F544=0,A544=Refinance_Calculator!$C$16),"",A544+1)</f>
        <v/>
      </c>
      <c r="B545" s="3" t="str">
        <f t="shared" si="35"/>
        <v/>
      </c>
      <c r="C545" s="3" t="str">
        <f>IF(A545="","",(-PMT(Refinance_Calculator!$C$13/12,Refinance_Calculator!$C$16,Full_Report!$B$86,0,0)))</f>
        <v/>
      </c>
      <c r="D545" s="3" t="str">
        <f t="shared" si="36"/>
        <v/>
      </c>
      <c r="E545" s="3" t="str">
        <f>IF(A545="","",(-PPMT(Refinance_Calculator!$C$13/12,Full_Report!A545,Refinance_Calculator!$C$16,Full_Report!$B$86,0,0)))</f>
        <v/>
      </c>
      <c r="F545" s="3" t="str">
        <f t="shared" si="37"/>
        <v/>
      </c>
      <c r="G545" s="5" t="str">
        <f t="shared" si="38"/>
        <v/>
      </c>
      <c r="H545" s="5" t="str">
        <f t="shared" si="39"/>
        <v/>
      </c>
    </row>
    <row r="546" spans="1:8" x14ac:dyDescent="0.25">
      <c r="A546" s="1" t="str">
        <f>IF(OR(A545="",F545=0,A545=Refinance_Calculator!$C$16),"",A545+1)</f>
        <v/>
      </c>
      <c r="B546" s="3" t="str">
        <f t="shared" ref="B546:B609" si="40">IF(A546="","",(F545))</f>
        <v/>
      </c>
      <c r="C546" s="3" t="str">
        <f>IF(A546="","",(-PMT(Refinance_Calculator!$C$13/12,Refinance_Calculator!$C$16,Full_Report!$B$86,0,0)))</f>
        <v/>
      </c>
      <c r="D546" s="3" t="str">
        <f t="shared" ref="D546:D609" si="41">+IF(A546="","",(C546-E546))</f>
        <v/>
      </c>
      <c r="E546" s="3" t="str">
        <f>IF(A546="","",(-PPMT(Refinance_Calculator!$C$13/12,Full_Report!A546,Refinance_Calculator!$C$16,Full_Report!$B$86,0,0)))</f>
        <v/>
      </c>
      <c r="F546" s="3" t="str">
        <f t="shared" ref="F546:F609" si="42">IF(A546="","",(B546-E546))</f>
        <v/>
      </c>
      <c r="G546" s="5" t="str">
        <f t="shared" si="38"/>
        <v/>
      </c>
      <c r="H546" s="5" t="str">
        <f t="shared" si="39"/>
        <v/>
      </c>
    </row>
    <row r="547" spans="1:8" x14ac:dyDescent="0.25">
      <c r="A547" s="1" t="str">
        <f>IF(OR(A546="",F546=0,A546=Refinance_Calculator!$C$16),"",A546+1)</f>
        <v/>
      </c>
      <c r="B547" s="3" t="str">
        <f t="shared" si="40"/>
        <v/>
      </c>
      <c r="C547" s="3" t="str">
        <f>IF(A547="","",(-PMT(Refinance_Calculator!$C$13/12,Refinance_Calculator!$C$16,Full_Report!$B$86,0,0)))</f>
        <v/>
      </c>
      <c r="D547" s="3" t="str">
        <f t="shared" si="41"/>
        <v/>
      </c>
      <c r="E547" s="3" t="str">
        <f>IF(A547="","",(-PPMT(Refinance_Calculator!$C$13/12,Full_Report!A547,Refinance_Calculator!$C$16,Full_Report!$B$86,0,0)))</f>
        <v/>
      </c>
      <c r="F547" s="3" t="str">
        <f t="shared" si="42"/>
        <v/>
      </c>
      <c r="G547" s="5" t="str">
        <f t="shared" si="38"/>
        <v/>
      </c>
      <c r="H547" s="5" t="str">
        <f t="shared" si="39"/>
        <v/>
      </c>
    </row>
    <row r="548" spans="1:8" x14ac:dyDescent="0.25">
      <c r="A548" s="1" t="str">
        <f>IF(OR(A547="",F547=0,A547=Refinance_Calculator!$C$16),"",A547+1)</f>
        <v/>
      </c>
      <c r="B548" s="3" t="str">
        <f t="shared" si="40"/>
        <v/>
      </c>
      <c r="C548" s="3" t="str">
        <f>IF(A548="","",(-PMT(Refinance_Calculator!$C$13/12,Refinance_Calculator!$C$16,Full_Report!$B$86,0,0)))</f>
        <v/>
      </c>
      <c r="D548" s="3" t="str">
        <f t="shared" si="41"/>
        <v/>
      </c>
      <c r="E548" s="3" t="str">
        <f>IF(A548="","",(-PPMT(Refinance_Calculator!$C$13/12,Full_Report!A548,Refinance_Calculator!$C$16,Full_Report!$B$86,0,0)))</f>
        <v/>
      </c>
      <c r="F548" s="3" t="str">
        <f t="shared" si="42"/>
        <v/>
      </c>
      <c r="G548" s="5" t="str">
        <f t="shared" si="38"/>
        <v/>
      </c>
      <c r="H548" s="5" t="str">
        <f t="shared" si="39"/>
        <v/>
      </c>
    </row>
    <row r="549" spans="1:8" x14ac:dyDescent="0.25">
      <c r="A549" s="1" t="str">
        <f>IF(OR(A548="",F548=0,A548=Refinance_Calculator!$C$16),"",A548+1)</f>
        <v/>
      </c>
      <c r="B549" s="3" t="str">
        <f t="shared" si="40"/>
        <v/>
      </c>
      <c r="C549" s="3" t="str">
        <f>IF(A549="","",(-PMT(Refinance_Calculator!$C$13/12,Refinance_Calculator!$C$16,Full_Report!$B$86,0,0)))</f>
        <v/>
      </c>
      <c r="D549" s="3" t="str">
        <f t="shared" si="41"/>
        <v/>
      </c>
      <c r="E549" s="3" t="str">
        <f>IF(A549="","",(-PPMT(Refinance_Calculator!$C$13/12,Full_Report!A549,Refinance_Calculator!$C$16,Full_Report!$B$86,0,0)))</f>
        <v/>
      </c>
      <c r="F549" s="3" t="str">
        <f t="shared" si="42"/>
        <v/>
      </c>
      <c r="G549" s="5" t="str">
        <f t="shared" si="38"/>
        <v/>
      </c>
      <c r="H549" s="5" t="str">
        <f t="shared" si="39"/>
        <v/>
      </c>
    </row>
    <row r="550" spans="1:8" x14ac:dyDescent="0.25">
      <c r="A550" s="1" t="str">
        <f>IF(OR(A549="",F549=0,A549=Refinance_Calculator!$C$16),"",A549+1)</f>
        <v/>
      </c>
      <c r="B550" s="3" t="str">
        <f t="shared" si="40"/>
        <v/>
      </c>
      <c r="C550" s="3" t="str">
        <f>IF(A550="","",(-PMT(Refinance_Calculator!$C$13/12,Refinance_Calculator!$C$16,Full_Report!$B$86,0,0)))</f>
        <v/>
      </c>
      <c r="D550" s="3" t="str">
        <f t="shared" si="41"/>
        <v/>
      </c>
      <c r="E550" s="3" t="str">
        <f>IF(A550="","",(-PPMT(Refinance_Calculator!$C$13/12,Full_Report!A550,Refinance_Calculator!$C$16,Full_Report!$B$86,0,0)))</f>
        <v/>
      </c>
      <c r="F550" s="3" t="str">
        <f t="shared" si="42"/>
        <v/>
      </c>
      <c r="G550" s="5" t="str">
        <f t="shared" si="38"/>
        <v/>
      </c>
      <c r="H550" s="5" t="str">
        <f t="shared" si="39"/>
        <v/>
      </c>
    </row>
    <row r="551" spans="1:8" x14ac:dyDescent="0.25">
      <c r="A551" s="1" t="str">
        <f>IF(OR(A550="",F550=0,A550=Refinance_Calculator!$C$16),"",A550+1)</f>
        <v/>
      </c>
      <c r="B551" s="3" t="str">
        <f t="shared" si="40"/>
        <v/>
      </c>
      <c r="C551" s="3" t="str">
        <f>IF(A551="","",(-PMT(Refinance_Calculator!$C$13/12,Refinance_Calculator!$C$16,Full_Report!$B$86,0,0)))</f>
        <v/>
      </c>
      <c r="D551" s="3" t="str">
        <f t="shared" si="41"/>
        <v/>
      </c>
      <c r="E551" s="3" t="str">
        <f>IF(A551="","",(-PPMT(Refinance_Calculator!$C$13/12,Full_Report!A551,Refinance_Calculator!$C$16,Full_Report!$B$86,0,0)))</f>
        <v/>
      </c>
      <c r="F551" s="3" t="str">
        <f t="shared" si="42"/>
        <v/>
      </c>
      <c r="G551" s="5" t="str">
        <f t="shared" si="38"/>
        <v/>
      </c>
      <c r="H551" s="5" t="str">
        <f t="shared" si="39"/>
        <v/>
      </c>
    </row>
    <row r="552" spans="1:8" x14ac:dyDescent="0.25">
      <c r="A552" s="1" t="str">
        <f>IF(OR(A551="",F551=0,A551=Refinance_Calculator!$C$16),"",A551+1)</f>
        <v/>
      </c>
      <c r="B552" s="3" t="str">
        <f t="shared" si="40"/>
        <v/>
      </c>
      <c r="C552" s="3" t="str">
        <f>IF(A552="","",(-PMT(Refinance_Calculator!$C$13/12,Refinance_Calculator!$C$16,Full_Report!$B$86,0,0)))</f>
        <v/>
      </c>
      <c r="D552" s="3" t="str">
        <f t="shared" si="41"/>
        <v/>
      </c>
      <c r="E552" s="3" t="str">
        <f>IF(A552="","",(-PPMT(Refinance_Calculator!$C$13/12,Full_Report!A552,Refinance_Calculator!$C$16,Full_Report!$B$86,0,0)))</f>
        <v/>
      </c>
      <c r="F552" s="3" t="str">
        <f t="shared" si="42"/>
        <v/>
      </c>
      <c r="G552" s="5" t="str">
        <f t="shared" si="38"/>
        <v/>
      </c>
      <c r="H552" s="5" t="str">
        <f t="shared" si="39"/>
        <v/>
      </c>
    </row>
    <row r="553" spans="1:8" x14ac:dyDescent="0.25">
      <c r="A553" s="1" t="str">
        <f>IF(OR(A552="",F552=0,A552=Refinance_Calculator!$C$16),"",A552+1)</f>
        <v/>
      </c>
      <c r="B553" s="3" t="str">
        <f t="shared" si="40"/>
        <v/>
      </c>
      <c r="C553" s="3" t="str">
        <f>IF(A553="","",(-PMT(Refinance_Calculator!$C$13/12,Refinance_Calculator!$C$16,Full_Report!$B$86,0,0)))</f>
        <v/>
      </c>
      <c r="D553" s="3" t="str">
        <f t="shared" si="41"/>
        <v/>
      </c>
      <c r="E553" s="3" t="str">
        <f>IF(A553="","",(-PPMT(Refinance_Calculator!$C$13/12,Full_Report!A553,Refinance_Calculator!$C$16,Full_Report!$B$86,0,0)))</f>
        <v/>
      </c>
      <c r="F553" s="3" t="str">
        <f t="shared" si="42"/>
        <v/>
      </c>
      <c r="G553" s="5" t="str">
        <f t="shared" si="38"/>
        <v/>
      </c>
      <c r="H553" s="5" t="str">
        <f t="shared" si="39"/>
        <v/>
      </c>
    </row>
    <row r="554" spans="1:8" x14ac:dyDescent="0.25">
      <c r="A554" s="1" t="str">
        <f>IF(OR(A553="",F553=0,A553=Refinance_Calculator!$C$16),"",A553+1)</f>
        <v/>
      </c>
      <c r="B554" s="3" t="str">
        <f t="shared" si="40"/>
        <v/>
      </c>
      <c r="C554" s="3" t="str">
        <f>IF(A554="","",(-PMT(Refinance_Calculator!$C$13/12,Refinance_Calculator!$C$16,Full_Report!$B$86,0,0)))</f>
        <v/>
      </c>
      <c r="D554" s="3" t="str">
        <f t="shared" si="41"/>
        <v/>
      </c>
      <c r="E554" s="3" t="str">
        <f>IF(A554="","",(-PPMT(Refinance_Calculator!$C$13/12,Full_Report!A554,Refinance_Calculator!$C$16,Full_Report!$B$86,0,0)))</f>
        <v/>
      </c>
      <c r="F554" s="3" t="str">
        <f t="shared" si="42"/>
        <v/>
      </c>
      <c r="G554" s="5" t="str">
        <f t="shared" si="38"/>
        <v/>
      </c>
      <c r="H554" s="5" t="str">
        <f t="shared" si="39"/>
        <v/>
      </c>
    </row>
    <row r="555" spans="1:8" x14ac:dyDescent="0.25">
      <c r="A555" s="1" t="str">
        <f>IF(OR(A554="",F554=0,A554=Refinance_Calculator!$C$16),"",A554+1)</f>
        <v/>
      </c>
      <c r="B555" s="3" t="str">
        <f t="shared" si="40"/>
        <v/>
      </c>
      <c r="C555" s="3" t="str">
        <f>IF(A555="","",(-PMT(Refinance_Calculator!$C$13/12,Refinance_Calculator!$C$16,Full_Report!$B$86,0,0)))</f>
        <v/>
      </c>
      <c r="D555" s="3" t="str">
        <f t="shared" si="41"/>
        <v/>
      </c>
      <c r="E555" s="3" t="str">
        <f>IF(A555="","",(-PPMT(Refinance_Calculator!$C$13/12,Full_Report!A555,Refinance_Calculator!$C$16,Full_Report!$B$86,0,0)))</f>
        <v/>
      </c>
      <c r="F555" s="3" t="str">
        <f t="shared" si="42"/>
        <v/>
      </c>
      <c r="G555" s="5" t="str">
        <f t="shared" si="38"/>
        <v/>
      </c>
      <c r="H555" s="5" t="str">
        <f t="shared" si="39"/>
        <v/>
      </c>
    </row>
    <row r="556" spans="1:8" x14ac:dyDescent="0.25">
      <c r="A556" s="1" t="str">
        <f>IF(OR(A555="",F555=0,A555=Refinance_Calculator!$C$16),"",A555+1)</f>
        <v/>
      </c>
      <c r="B556" s="3" t="str">
        <f t="shared" si="40"/>
        <v/>
      </c>
      <c r="C556" s="3" t="str">
        <f>IF(A556="","",(-PMT(Refinance_Calculator!$C$13/12,Refinance_Calculator!$C$16,Full_Report!$B$86,0,0)))</f>
        <v/>
      </c>
      <c r="D556" s="3" t="str">
        <f t="shared" si="41"/>
        <v/>
      </c>
      <c r="E556" s="3" t="str">
        <f>IF(A556="","",(-PPMT(Refinance_Calculator!$C$13/12,Full_Report!A556,Refinance_Calculator!$C$16,Full_Report!$B$86,0,0)))</f>
        <v/>
      </c>
      <c r="F556" s="3" t="str">
        <f t="shared" si="42"/>
        <v/>
      </c>
      <c r="G556" s="5" t="str">
        <f t="shared" si="38"/>
        <v/>
      </c>
      <c r="H556" s="5" t="str">
        <f t="shared" si="39"/>
        <v/>
      </c>
    </row>
    <row r="557" spans="1:8" x14ac:dyDescent="0.25">
      <c r="A557" s="1" t="str">
        <f>IF(OR(A556="",F556=0,A556=Refinance_Calculator!$C$16),"",A556+1)</f>
        <v/>
      </c>
      <c r="B557" s="3" t="str">
        <f t="shared" si="40"/>
        <v/>
      </c>
      <c r="C557" s="3" t="str">
        <f>IF(A557="","",(-PMT(Refinance_Calculator!$C$13/12,Refinance_Calculator!$C$16,Full_Report!$B$86,0,0)))</f>
        <v/>
      </c>
      <c r="D557" s="3" t="str">
        <f t="shared" si="41"/>
        <v/>
      </c>
      <c r="E557" s="3" t="str">
        <f>IF(A557="","",(-PPMT(Refinance_Calculator!$C$13/12,Full_Report!A557,Refinance_Calculator!$C$16,Full_Report!$B$86,0,0)))</f>
        <v/>
      </c>
      <c r="F557" s="3" t="str">
        <f t="shared" si="42"/>
        <v/>
      </c>
      <c r="G557" s="5" t="str">
        <f t="shared" si="38"/>
        <v/>
      </c>
      <c r="H557" s="5" t="str">
        <f t="shared" si="39"/>
        <v/>
      </c>
    </row>
    <row r="558" spans="1:8" x14ac:dyDescent="0.25">
      <c r="A558" s="1" t="str">
        <f>IF(OR(A557="",F557=0,A557=Refinance_Calculator!$C$16),"",A557+1)</f>
        <v/>
      </c>
      <c r="B558" s="3" t="str">
        <f t="shared" si="40"/>
        <v/>
      </c>
      <c r="C558" s="3" t="str">
        <f>IF(A558="","",(-PMT(Refinance_Calculator!$C$13/12,Refinance_Calculator!$C$16,Full_Report!$B$86,0,0)))</f>
        <v/>
      </c>
      <c r="D558" s="3" t="str">
        <f t="shared" si="41"/>
        <v/>
      </c>
      <c r="E558" s="3" t="str">
        <f>IF(A558="","",(-PPMT(Refinance_Calculator!$C$13/12,Full_Report!A558,Refinance_Calculator!$C$16,Full_Report!$B$86,0,0)))</f>
        <v/>
      </c>
      <c r="F558" s="3" t="str">
        <f t="shared" si="42"/>
        <v/>
      </c>
      <c r="G558" s="5" t="str">
        <f t="shared" si="38"/>
        <v/>
      </c>
      <c r="H558" s="5" t="str">
        <f t="shared" si="39"/>
        <v/>
      </c>
    </row>
    <row r="559" spans="1:8" x14ac:dyDescent="0.25">
      <c r="A559" s="1" t="str">
        <f>IF(OR(A558="",F558=0,A558=Refinance_Calculator!$C$16),"",A558+1)</f>
        <v/>
      </c>
      <c r="B559" s="3" t="str">
        <f t="shared" si="40"/>
        <v/>
      </c>
      <c r="C559" s="3" t="str">
        <f>IF(A559="","",(-PMT(Refinance_Calculator!$C$13/12,Refinance_Calculator!$C$16,Full_Report!$B$86,0,0)))</f>
        <v/>
      </c>
      <c r="D559" s="3" t="str">
        <f t="shared" si="41"/>
        <v/>
      </c>
      <c r="E559" s="3" t="str">
        <f>IF(A559="","",(-PPMT(Refinance_Calculator!$C$13/12,Full_Report!A559,Refinance_Calculator!$C$16,Full_Report!$B$86,0,0)))</f>
        <v/>
      </c>
      <c r="F559" s="3" t="str">
        <f t="shared" si="42"/>
        <v/>
      </c>
      <c r="G559" s="5" t="str">
        <f t="shared" si="38"/>
        <v/>
      </c>
      <c r="H559" s="5" t="str">
        <f t="shared" si="39"/>
        <v/>
      </c>
    </row>
    <row r="560" spans="1:8" x14ac:dyDescent="0.25">
      <c r="A560" s="1" t="str">
        <f>IF(OR(A559="",F559=0,A559=Refinance_Calculator!$C$16),"",A559+1)</f>
        <v/>
      </c>
      <c r="B560" s="3" t="str">
        <f t="shared" si="40"/>
        <v/>
      </c>
      <c r="C560" s="3" t="str">
        <f>IF(A560="","",(-PMT(Refinance_Calculator!$C$13/12,Refinance_Calculator!$C$16,Full_Report!$B$86,0,0)))</f>
        <v/>
      </c>
      <c r="D560" s="3" t="str">
        <f t="shared" si="41"/>
        <v/>
      </c>
      <c r="E560" s="3" t="str">
        <f>IF(A560="","",(-PPMT(Refinance_Calculator!$C$13/12,Full_Report!A560,Refinance_Calculator!$C$16,Full_Report!$B$86,0,0)))</f>
        <v/>
      </c>
      <c r="F560" s="3" t="str">
        <f t="shared" si="42"/>
        <v/>
      </c>
      <c r="G560" s="5" t="str">
        <f t="shared" si="38"/>
        <v/>
      </c>
      <c r="H560" s="5" t="str">
        <f t="shared" si="39"/>
        <v/>
      </c>
    </row>
    <row r="561" spans="1:8" x14ac:dyDescent="0.25">
      <c r="A561" s="1" t="str">
        <f>IF(OR(A560="",F560=0,A560=Refinance_Calculator!$C$16),"",A560+1)</f>
        <v/>
      </c>
      <c r="B561" s="3" t="str">
        <f t="shared" si="40"/>
        <v/>
      </c>
      <c r="C561" s="3" t="str">
        <f>IF(A561="","",(-PMT(Refinance_Calculator!$C$13/12,Refinance_Calculator!$C$16,Full_Report!$B$86,0,0)))</f>
        <v/>
      </c>
      <c r="D561" s="3" t="str">
        <f t="shared" si="41"/>
        <v/>
      </c>
      <c r="E561" s="3" t="str">
        <f>IF(A561="","",(-PPMT(Refinance_Calculator!$C$13/12,Full_Report!A561,Refinance_Calculator!$C$16,Full_Report!$B$86,0,0)))</f>
        <v/>
      </c>
      <c r="F561" s="3" t="str">
        <f t="shared" si="42"/>
        <v/>
      </c>
      <c r="G561" s="5" t="str">
        <f t="shared" si="38"/>
        <v/>
      </c>
      <c r="H561" s="5" t="str">
        <f t="shared" si="39"/>
        <v/>
      </c>
    </row>
    <row r="562" spans="1:8" x14ac:dyDescent="0.25">
      <c r="A562" s="1" t="str">
        <f>IF(OR(A561="",F561=0,A561=Refinance_Calculator!$C$16),"",A561+1)</f>
        <v/>
      </c>
      <c r="B562" s="3" t="str">
        <f t="shared" si="40"/>
        <v/>
      </c>
      <c r="C562" s="3" t="str">
        <f>IF(A562="","",(-PMT(Refinance_Calculator!$C$13/12,Refinance_Calculator!$C$16,Full_Report!$B$86,0,0)))</f>
        <v/>
      </c>
      <c r="D562" s="3" t="str">
        <f t="shared" si="41"/>
        <v/>
      </c>
      <c r="E562" s="3" t="str">
        <f>IF(A562="","",(-PPMT(Refinance_Calculator!$C$13/12,Full_Report!A562,Refinance_Calculator!$C$16,Full_Report!$B$86,0,0)))</f>
        <v/>
      </c>
      <c r="F562" s="3" t="str">
        <f t="shared" si="42"/>
        <v/>
      </c>
      <c r="G562" s="5" t="str">
        <f t="shared" si="38"/>
        <v/>
      </c>
      <c r="H562" s="5" t="str">
        <f t="shared" si="39"/>
        <v/>
      </c>
    </row>
    <row r="563" spans="1:8" x14ac:dyDescent="0.25">
      <c r="A563" s="1" t="str">
        <f>IF(OR(A562="",F562=0,A562=Refinance_Calculator!$C$16),"",A562+1)</f>
        <v/>
      </c>
      <c r="B563" s="3" t="str">
        <f t="shared" si="40"/>
        <v/>
      </c>
      <c r="C563" s="3" t="str">
        <f>IF(A563="","",(-PMT(Refinance_Calculator!$C$13/12,Refinance_Calculator!$C$16,Full_Report!$B$86,0,0)))</f>
        <v/>
      </c>
      <c r="D563" s="3" t="str">
        <f t="shared" si="41"/>
        <v/>
      </c>
      <c r="E563" s="3" t="str">
        <f>IF(A563="","",(-PPMT(Refinance_Calculator!$C$13/12,Full_Report!A563,Refinance_Calculator!$C$16,Full_Report!$B$86,0,0)))</f>
        <v/>
      </c>
      <c r="F563" s="3" t="str">
        <f t="shared" si="42"/>
        <v/>
      </c>
      <c r="G563" s="5" t="str">
        <f t="shared" si="38"/>
        <v/>
      </c>
      <c r="H563" s="5" t="str">
        <f t="shared" si="39"/>
        <v/>
      </c>
    </row>
    <row r="564" spans="1:8" x14ac:dyDescent="0.25">
      <c r="A564" s="1" t="str">
        <f>IF(OR(A563="",F563=0,A563=Refinance_Calculator!$C$16),"",A563+1)</f>
        <v/>
      </c>
      <c r="B564" s="3" t="str">
        <f t="shared" si="40"/>
        <v/>
      </c>
      <c r="C564" s="3" t="str">
        <f>IF(A564="","",(-PMT(Refinance_Calculator!$C$13/12,Refinance_Calculator!$C$16,Full_Report!$B$86,0,0)))</f>
        <v/>
      </c>
      <c r="D564" s="3" t="str">
        <f t="shared" si="41"/>
        <v/>
      </c>
      <c r="E564" s="3" t="str">
        <f>IF(A564="","",(-PPMT(Refinance_Calculator!$C$13/12,Full_Report!A564,Refinance_Calculator!$C$16,Full_Report!$B$86,0,0)))</f>
        <v/>
      </c>
      <c r="F564" s="3" t="str">
        <f t="shared" si="42"/>
        <v/>
      </c>
      <c r="G564" s="5" t="str">
        <f t="shared" si="38"/>
        <v/>
      </c>
      <c r="H564" s="5" t="str">
        <f t="shared" si="39"/>
        <v/>
      </c>
    </row>
    <row r="565" spans="1:8" x14ac:dyDescent="0.25">
      <c r="A565" s="1" t="str">
        <f>IF(OR(A564="",F564=0,A564=Refinance_Calculator!$C$16),"",A564+1)</f>
        <v/>
      </c>
      <c r="B565" s="3" t="str">
        <f t="shared" si="40"/>
        <v/>
      </c>
      <c r="C565" s="3" t="str">
        <f>IF(A565="","",(-PMT(Refinance_Calculator!$C$13/12,Refinance_Calculator!$C$16,Full_Report!$B$86,0,0)))</f>
        <v/>
      </c>
      <c r="D565" s="3" t="str">
        <f t="shared" si="41"/>
        <v/>
      </c>
      <c r="E565" s="3" t="str">
        <f>IF(A565="","",(-PPMT(Refinance_Calculator!$C$13/12,Full_Report!A565,Refinance_Calculator!$C$16,Full_Report!$B$86,0,0)))</f>
        <v/>
      </c>
      <c r="F565" s="3" t="str">
        <f t="shared" si="42"/>
        <v/>
      </c>
      <c r="G565" s="5" t="str">
        <f t="shared" si="38"/>
        <v/>
      </c>
      <c r="H565" s="5" t="str">
        <f t="shared" si="39"/>
        <v/>
      </c>
    </row>
    <row r="566" spans="1:8" x14ac:dyDescent="0.25">
      <c r="A566" s="1" t="str">
        <f>IF(OR(A565="",F565=0,A565=Refinance_Calculator!$C$16),"",A565+1)</f>
        <v/>
      </c>
      <c r="B566" s="3" t="str">
        <f t="shared" si="40"/>
        <v/>
      </c>
      <c r="C566" s="3" t="str">
        <f>IF(A566="","",(-PMT(Refinance_Calculator!$C$13/12,Refinance_Calculator!$C$16,Full_Report!$B$86,0,0)))</f>
        <v/>
      </c>
      <c r="D566" s="3" t="str">
        <f t="shared" si="41"/>
        <v/>
      </c>
      <c r="E566" s="3" t="str">
        <f>IF(A566="","",(-PPMT(Refinance_Calculator!$C$13/12,Full_Report!A566,Refinance_Calculator!$C$16,Full_Report!$B$86,0,0)))</f>
        <v/>
      </c>
      <c r="F566" s="3" t="str">
        <f t="shared" si="42"/>
        <v/>
      </c>
      <c r="G566" s="5" t="str">
        <f t="shared" si="38"/>
        <v/>
      </c>
      <c r="H566" s="5" t="str">
        <f t="shared" si="39"/>
        <v/>
      </c>
    </row>
    <row r="567" spans="1:8" x14ac:dyDescent="0.25">
      <c r="A567" s="1" t="str">
        <f>IF(OR(A566="",F566=0,A566=Refinance_Calculator!$C$16),"",A566+1)</f>
        <v/>
      </c>
      <c r="B567" s="3" t="str">
        <f t="shared" si="40"/>
        <v/>
      </c>
      <c r="C567" s="3" t="str">
        <f>IF(A567="","",(-PMT(Refinance_Calculator!$C$13/12,Refinance_Calculator!$C$16,Full_Report!$B$86,0,0)))</f>
        <v/>
      </c>
      <c r="D567" s="3" t="str">
        <f t="shared" si="41"/>
        <v/>
      </c>
      <c r="E567" s="3" t="str">
        <f>IF(A567="","",(-PPMT(Refinance_Calculator!$C$13/12,Full_Report!A567,Refinance_Calculator!$C$16,Full_Report!$B$86,0,0)))</f>
        <v/>
      </c>
      <c r="F567" s="3" t="str">
        <f t="shared" si="42"/>
        <v/>
      </c>
      <c r="G567" s="5" t="str">
        <f t="shared" si="38"/>
        <v/>
      </c>
      <c r="H567" s="5" t="str">
        <f t="shared" si="39"/>
        <v/>
      </c>
    </row>
    <row r="568" spans="1:8" x14ac:dyDescent="0.25">
      <c r="A568" s="1" t="str">
        <f>IF(OR(A567="",F567=0,A567=Refinance_Calculator!$C$16),"",A567+1)</f>
        <v/>
      </c>
      <c r="B568" s="3" t="str">
        <f t="shared" si="40"/>
        <v/>
      </c>
      <c r="C568" s="3" t="str">
        <f>IF(A568="","",(-PMT(Refinance_Calculator!$C$13/12,Refinance_Calculator!$C$16,Full_Report!$B$86,0,0)))</f>
        <v/>
      </c>
      <c r="D568" s="3" t="str">
        <f t="shared" si="41"/>
        <v/>
      </c>
      <c r="E568" s="3" t="str">
        <f>IF(A568="","",(-PPMT(Refinance_Calculator!$C$13/12,Full_Report!A568,Refinance_Calculator!$C$16,Full_Report!$B$86,0,0)))</f>
        <v/>
      </c>
      <c r="F568" s="3" t="str">
        <f t="shared" si="42"/>
        <v/>
      </c>
      <c r="G568" s="5" t="str">
        <f t="shared" si="38"/>
        <v/>
      </c>
      <c r="H568" s="5" t="str">
        <f t="shared" si="39"/>
        <v/>
      </c>
    </row>
    <row r="569" spans="1:8" x14ac:dyDescent="0.25">
      <c r="A569" s="1" t="str">
        <f>IF(OR(A568="",F568=0,A568=Refinance_Calculator!$C$16),"",A568+1)</f>
        <v/>
      </c>
      <c r="B569" s="3" t="str">
        <f t="shared" si="40"/>
        <v/>
      </c>
      <c r="C569" s="3" t="str">
        <f>IF(A569="","",(-PMT(Refinance_Calculator!$C$13/12,Refinance_Calculator!$C$16,Full_Report!$B$86,0,0)))</f>
        <v/>
      </c>
      <c r="D569" s="3" t="str">
        <f t="shared" si="41"/>
        <v/>
      </c>
      <c r="E569" s="3" t="str">
        <f>IF(A569="","",(-PPMT(Refinance_Calculator!$C$13/12,Full_Report!A569,Refinance_Calculator!$C$16,Full_Report!$B$86,0,0)))</f>
        <v/>
      </c>
      <c r="F569" s="3" t="str">
        <f t="shared" si="42"/>
        <v/>
      </c>
      <c r="G569" s="5" t="str">
        <f t="shared" si="38"/>
        <v/>
      </c>
      <c r="H569" s="5" t="str">
        <f t="shared" si="39"/>
        <v/>
      </c>
    </row>
    <row r="570" spans="1:8" x14ac:dyDescent="0.25">
      <c r="A570" s="1" t="str">
        <f>IF(OR(A569="",F569=0,A569=Refinance_Calculator!$C$16),"",A569+1)</f>
        <v/>
      </c>
      <c r="B570" s="3" t="str">
        <f t="shared" si="40"/>
        <v/>
      </c>
      <c r="C570" s="3" t="str">
        <f>IF(A570="","",(-PMT(Refinance_Calculator!$C$13/12,Refinance_Calculator!$C$16,Full_Report!$B$86,0,0)))</f>
        <v/>
      </c>
      <c r="D570" s="3" t="str">
        <f t="shared" si="41"/>
        <v/>
      </c>
      <c r="E570" s="3" t="str">
        <f>IF(A570="","",(-PPMT(Refinance_Calculator!$C$13/12,Full_Report!A570,Refinance_Calculator!$C$16,Full_Report!$B$86,0,0)))</f>
        <v/>
      </c>
      <c r="F570" s="3" t="str">
        <f t="shared" si="42"/>
        <v/>
      </c>
      <c r="G570" s="5" t="str">
        <f t="shared" si="38"/>
        <v/>
      </c>
      <c r="H570" s="5" t="str">
        <f t="shared" si="39"/>
        <v/>
      </c>
    </row>
    <row r="571" spans="1:8" x14ac:dyDescent="0.25">
      <c r="A571" s="1" t="str">
        <f>IF(OR(A570="",F570=0,A570=Refinance_Calculator!$C$16),"",A570+1)</f>
        <v/>
      </c>
      <c r="B571" s="3" t="str">
        <f t="shared" si="40"/>
        <v/>
      </c>
      <c r="C571" s="3" t="str">
        <f>IF(A571="","",(-PMT(Refinance_Calculator!$C$13/12,Refinance_Calculator!$C$16,Full_Report!$B$86,0,0)))</f>
        <v/>
      </c>
      <c r="D571" s="3" t="str">
        <f t="shared" si="41"/>
        <v/>
      </c>
      <c r="E571" s="3" t="str">
        <f>IF(A571="","",(-PPMT(Refinance_Calculator!$C$13/12,Full_Report!A571,Refinance_Calculator!$C$16,Full_Report!$B$86,0,0)))</f>
        <v/>
      </c>
      <c r="F571" s="3" t="str">
        <f t="shared" si="42"/>
        <v/>
      </c>
      <c r="G571" s="5" t="str">
        <f t="shared" si="38"/>
        <v/>
      </c>
      <c r="H571" s="5" t="str">
        <f t="shared" si="39"/>
        <v/>
      </c>
    </row>
    <row r="572" spans="1:8" x14ac:dyDescent="0.25">
      <c r="A572" s="1" t="str">
        <f>IF(OR(A571="",F571=0,A571=Refinance_Calculator!$C$16),"",A571+1)</f>
        <v/>
      </c>
      <c r="B572" s="3" t="str">
        <f t="shared" si="40"/>
        <v/>
      </c>
      <c r="C572" s="3" t="str">
        <f>IF(A572="","",(-PMT(Refinance_Calculator!$C$13/12,Refinance_Calculator!$C$16,Full_Report!$B$86,0,0)))</f>
        <v/>
      </c>
      <c r="D572" s="3" t="str">
        <f t="shared" si="41"/>
        <v/>
      </c>
      <c r="E572" s="3" t="str">
        <f>IF(A572="","",(-PPMT(Refinance_Calculator!$C$13/12,Full_Report!A572,Refinance_Calculator!$C$16,Full_Report!$B$86,0,0)))</f>
        <v/>
      </c>
      <c r="F572" s="3" t="str">
        <f t="shared" si="42"/>
        <v/>
      </c>
      <c r="G572" s="5" t="str">
        <f t="shared" si="38"/>
        <v/>
      </c>
      <c r="H572" s="5" t="str">
        <f t="shared" si="39"/>
        <v/>
      </c>
    </row>
    <row r="573" spans="1:8" x14ac:dyDescent="0.25">
      <c r="A573" s="1" t="str">
        <f>IF(OR(A572="",F572=0,A572=Refinance_Calculator!$C$16),"",A572+1)</f>
        <v/>
      </c>
      <c r="B573" s="3" t="str">
        <f t="shared" si="40"/>
        <v/>
      </c>
      <c r="C573" s="3" t="str">
        <f>IF(A573="","",(-PMT(Refinance_Calculator!$C$13/12,Refinance_Calculator!$C$16,Full_Report!$B$86,0,0)))</f>
        <v/>
      </c>
      <c r="D573" s="3" t="str">
        <f t="shared" si="41"/>
        <v/>
      </c>
      <c r="E573" s="3" t="str">
        <f>IF(A573="","",(-PPMT(Refinance_Calculator!$C$13/12,Full_Report!A573,Refinance_Calculator!$C$16,Full_Report!$B$86,0,0)))</f>
        <v/>
      </c>
      <c r="F573" s="3" t="str">
        <f t="shared" si="42"/>
        <v/>
      </c>
      <c r="G573" s="5" t="str">
        <f t="shared" si="38"/>
        <v/>
      </c>
      <c r="H573" s="5" t="str">
        <f t="shared" si="39"/>
        <v/>
      </c>
    </row>
    <row r="574" spans="1:8" x14ac:dyDescent="0.25">
      <c r="A574" s="1" t="str">
        <f>IF(OR(A573="",F573=0,A573=Refinance_Calculator!$C$16),"",A573+1)</f>
        <v/>
      </c>
      <c r="B574" s="3" t="str">
        <f t="shared" si="40"/>
        <v/>
      </c>
      <c r="C574" s="3" t="str">
        <f>IF(A574="","",(-PMT(Refinance_Calculator!$C$13/12,Refinance_Calculator!$C$16,Full_Report!$B$86,0,0)))</f>
        <v/>
      </c>
      <c r="D574" s="3" t="str">
        <f t="shared" si="41"/>
        <v/>
      </c>
      <c r="E574" s="3" t="str">
        <f>IF(A574="","",(-PPMT(Refinance_Calculator!$C$13/12,Full_Report!A574,Refinance_Calculator!$C$16,Full_Report!$B$86,0,0)))</f>
        <v/>
      </c>
      <c r="F574" s="3" t="str">
        <f t="shared" si="42"/>
        <v/>
      </c>
      <c r="G574" s="5" t="str">
        <f t="shared" si="38"/>
        <v/>
      </c>
      <c r="H574" s="5" t="str">
        <f t="shared" si="39"/>
        <v/>
      </c>
    </row>
    <row r="575" spans="1:8" x14ac:dyDescent="0.25">
      <c r="A575" s="1" t="str">
        <f>IF(OR(A574="",F574=0,A574=Refinance_Calculator!$C$16),"",A574+1)</f>
        <v/>
      </c>
      <c r="B575" s="3" t="str">
        <f t="shared" si="40"/>
        <v/>
      </c>
      <c r="C575" s="3" t="str">
        <f>IF(A575="","",(-PMT(Refinance_Calculator!$C$13/12,Refinance_Calculator!$C$16,Full_Report!$B$86,0,0)))</f>
        <v/>
      </c>
      <c r="D575" s="3" t="str">
        <f t="shared" si="41"/>
        <v/>
      </c>
      <c r="E575" s="3" t="str">
        <f>IF(A575="","",(-PPMT(Refinance_Calculator!$C$13/12,Full_Report!A575,Refinance_Calculator!$C$16,Full_Report!$B$86,0,0)))</f>
        <v/>
      </c>
      <c r="F575" s="3" t="str">
        <f t="shared" si="42"/>
        <v/>
      </c>
      <c r="G575" s="5" t="str">
        <f t="shared" si="38"/>
        <v/>
      </c>
      <c r="H575" s="5" t="str">
        <f t="shared" si="39"/>
        <v/>
      </c>
    </row>
    <row r="576" spans="1:8" x14ac:dyDescent="0.25">
      <c r="A576" s="1" t="str">
        <f>IF(OR(A575="",F575=0,A575=Refinance_Calculator!$C$16),"",A575+1)</f>
        <v/>
      </c>
      <c r="B576" s="3" t="str">
        <f t="shared" si="40"/>
        <v/>
      </c>
      <c r="C576" s="3" t="str">
        <f>IF(A576="","",(-PMT(Refinance_Calculator!$C$13/12,Refinance_Calculator!$C$16,Full_Report!$B$86,0,0)))</f>
        <v/>
      </c>
      <c r="D576" s="3" t="str">
        <f t="shared" si="41"/>
        <v/>
      </c>
      <c r="E576" s="3" t="str">
        <f>IF(A576="","",(-PPMT(Refinance_Calculator!$C$13/12,Full_Report!A576,Refinance_Calculator!$C$16,Full_Report!$B$86,0,0)))</f>
        <v/>
      </c>
      <c r="F576" s="3" t="str">
        <f t="shared" si="42"/>
        <v/>
      </c>
      <c r="G576" s="5" t="str">
        <f t="shared" si="38"/>
        <v/>
      </c>
      <c r="H576" s="5" t="str">
        <f t="shared" si="39"/>
        <v/>
      </c>
    </row>
    <row r="577" spans="1:8" x14ac:dyDescent="0.25">
      <c r="A577" s="1" t="str">
        <f>IF(OR(A576="",F576=0,A576=Refinance_Calculator!$C$16),"",A576+1)</f>
        <v/>
      </c>
      <c r="B577" s="3" t="str">
        <f t="shared" si="40"/>
        <v/>
      </c>
      <c r="C577" s="3" t="str">
        <f>IF(A577="","",(-PMT(Refinance_Calculator!$C$13/12,Refinance_Calculator!$C$16,Full_Report!$B$86,0,0)))</f>
        <v/>
      </c>
      <c r="D577" s="3" t="str">
        <f t="shared" si="41"/>
        <v/>
      </c>
      <c r="E577" s="3" t="str">
        <f>IF(A577="","",(-PPMT(Refinance_Calculator!$C$13/12,Full_Report!A577,Refinance_Calculator!$C$16,Full_Report!$B$86,0,0)))</f>
        <v/>
      </c>
      <c r="F577" s="3" t="str">
        <f t="shared" si="42"/>
        <v/>
      </c>
      <c r="G577" s="5" t="str">
        <f t="shared" si="38"/>
        <v/>
      </c>
      <c r="H577" s="5" t="str">
        <f t="shared" si="39"/>
        <v/>
      </c>
    </row>
    <row r="578" spans="1:8" x14ac:dyDescent="0.25">
      <c r="A578" s="1" t="str">
        <f>IF(OR(A577="",F577=0,A577=Refinance_Calculator!$C$16),"",A577+1)</f>
        <v/>
      </c>
      <c r="B578" s="3" t="str">
        <f t="shared" si="40"/>
        <v/>
      </c>
      <c r="C578" s="3" t="str">
        <f>IF(A578="","",(-PMT(Refinance_Calculator!$C$13/12,Refinance_Calculator!$C$16,Full_Report!$B$86,0,0)))</f>
        <v/>
      </c>
      <c r="D578" s="3" t="str">
        <f t="shared" si="41"/>
        <v/>
      </c>
      <c r="E578" s="3" t="str">
        <f>IF(A578="","",(-PPMT(Refinance_Calculator!$C$13/12,Full_Report!A578,Refinance_Calculator!$C$16,Full_Report!$B$86,0,0)))</f>
        <v/>
      </c>
      <c r="F578" s="3" t="str">
        <f t="shared" si="42"/>
        <v/>
      </c>
      <c r="G578" s="5" t="str">
        <f t="shared" si="38"/>
        <v/>
      </c>
      <c r="H578" s="5" t="str">
        <f t="shared" si="39"/>
        <v/>
      </c>
    </row>
    <row r="579" spans="1:8" x14ac:dyDescent="0.25">
      <c r="A579" s="1" t="str">
        <f>IF(OR(A578="",F578=0,A578=Refinance_Calculator!$C$16),"",A578+1)</f>
        <v/>
      </c>
      <c r="B579" s="3" t="str">
        <f t="shared" si="40"/>
        <v/>
      </c>
      <c r="C579" s="3" t="str">
        <f>IF(A579="","",(-PMT(Refinance_Calculator!$C$13/12,Refinance_Calculator!$C$16,Full_Report!$B$86,0,0)))</f>
        <v/>
      </c>
      <c r="D579" s="3" t="str">
        <f t="shared" si="41"/>
        <v/>
      </c>
      <c r="E579" s="3" t="str">
        <f>IF(A579="","",(-PPMT(Refinance_Calculator!$C$13/12,Full_Report!A579,Refinance_Calculator!$C$16,Full_Report!$B$86,0,0)))</f>
        <v/>
      </c>
      <c r="F579" s="3" t="str">
        <f t="shared" si="42"/>
        <v/>
      </c>
      <c r="G579" s="5" t="str">
        <f t="shared" si="38"/>
        <v/>
      </c>
      <c r="H579" s="5" t="str">
        <f t="shared" si="39"/>
        <v/>
      </c>
    </row>
    <row r="580" spans="1:8" x14ac:dyDescent="0.25">
      <c r="A580" s="1" t="str">
        <f>IF(OR(A579="",F579=0,A579=Refinance_Calculator!$C$16),"",A579+1)</f>
        <v/>
      </c>
      <c r="B580" s="3" t="str">
        <f t="shared" si="40"/>
        <v/>
      </c>
      <c r="C580" s="3" t="str">
        <f>IF(A580="","",(-PMT(Refinance_Calculator!$C$13/12,Refinance_Calculator!$C$16,Full_Report!$B$86,0,0)))</f>
        <v/>
      </c>
      <c r="D580" s="3" t="str">
        <f t="shared" si="41"/>
        <v/>
      </c>
      <c r="E580" s="3" t="str">
        <f>IF(A580="","",(-PPMT(Refinance_Calculator!$C$13/12,Full_Report!A580,Refinance_Calculator!$C$16,Full_Report!$B$86,0,0)))</f>
        <v/>
      </c>
      <c r="F580" s="3" t="str">
        <f t="shared" si="42"/>
        <v/>
      </c>
      <c r="G580" s="5" t="str">
        <f t="shared" si="38"/>
        <v/>
      </c>
      <c r="H580" s="5" t="str">
        <f t="shared" si="39"/>
        <v/>
      </c>
    </row>
    <row r="581" spans="1:8" x14ac:dyDescent="0.25">
      <c r="A581" s="1" t="str">
        <f>IF(OR(A580="",F580=0,A580=Refinance_Calculator!$C$16),"",A580+1)</f>
        <v/>
      </c>
      <c r="B581" s="3" t="str">
        <f t="shared" si="40"/>
        <v/>
      </c>
      <c r="C581" s="3" t="str">
        <f>IF(A581="","",(-PMT(Refinance_Calculator!$C$13/12,Refinance_Calculator!$C$16,Full_Report!$B$86,0,0)))</f>
        <v/>
      </c>
      <c r="D581" s="3" t="str">
        <f t="shared" si="41"/>
        <v/>
      </c>
      <c r="E581" s="3" t="str">
        <f>IF(A581="","",(-PPMT(Refinance_Calculator!$C$13/12,Full_Report!A581,Refinance_Calculator!$C$16,Full_Report!$B$86,0,0)))</f>
        <v/>
      </c>
      <c r="F581" s="3" t="str">
        <f t="shared" si="42"/>
        <v/>
      </c>
      <c r="G581" s="5" t="str">
        <f t="shared" si="38"/>
        <v/>
      </c>
      <c r="H581" s="5" t="str">
        <f t="shared" si="39"/>
        <v/>
      </c>
    </row>
    <row r="582" spans="1:8" x14ac:dyDescent="0.25">
      <c r="A582" s="1" t="str">
        <f>IF(OR(A581="",F581=0,A581=Refinance_Calculator!$C$16),"",A581+1)</f>
        <v/>
      </c>
      <c r="B582" s="3" t="str">
        <f t="shared" si="40"/>
        <v/>
      </c>
      <c r="C582" s="3" t="str">
        <f>IF(A582="","",(-PMT(Refinance_Calculator!$C$13/12,Refinance_Calculator!$C$16,Full_Report!$B$86,0,0)))</f>
        <v/>
      </c>
      <c r="D582" s="3" t="str">
        <f t="shared" si="41"/>
        <v/>
      </c>
      <c r="E582" s="3" t="str">
        <f>IF(A582="","",(-PPMT(Refinance_Calculator!$C$13/12,Full_Report!A582,Refinance_Calculator!$C$16,Full_Report!$B$86,0,0)))</f>
        <v/>
      </c>
      <c r="F582" s="3" t="str">
        <f t="shared" si="42"/>
        <v/>
      </c>
      <c r="G582" s="5" t="str">
        <f t="shared" si="38"/>
        <v/>
      </c>
      <c r="H582" s="5" t="str">
        <f t="shared" si="39"/>
        <v/>
      </c>
    </row>
    <row r="583" spans="1:8" x14ac:dyDescent="0.25">
      <c r="A583" s="1" t="str">
        <f>IF(OR(A582="",F582=0,A582=Refinance_Calculator!$C$16),"",A582+1)</f>
        <v/>
      </c>
      <c r="B583" s="3" t="str">
        <f t="shared" si="40"/>
        <v/>
      </c>
      <c r="C583" s="3" t="str">
        <f>IF(A583="","",(-PMT(Refinance_Calculator!$C$13/12,Refinance_Calculator!$C$16,Full_Report!$B$86,0,0)))</f>
        <v/>
      </c>
      <c r="D583" s="3" t="str">
        <f t="shared" si="41"/>
        <v/>
      </c>
      <c r="E583" s="3" t="str">
        <f>IF(A583="","",(-PPMT(Refinance_Calculator!$C$13/12,Full_Report!A583,Refinance_Calculator!$C$16,Full_Report!$B$86,0,0)))</f>
        <v/>
      </c>
      <c r="F583" s="3" t="str">
        <f t="shared" si="42"/>
        <v/>
      </c>
      <c r="G583" s="5" t="str">
        <f t="shared" si="38"/>
        <v/>
      </c>
      <c r="H583" s="5" t="str">
        <f t="shared" si="39"/>
        <v/>
      </c>
    </row>
    <row r="584" spans="1:8" x14ac:dyDescent="0.25">
      <c r="A584" s="1" t="str">
        <f>IF(OR(A583="",F583=0,A583=Refinance_Calculator!$C$16),"",A583+1)</f>
        <v/>
      </c>
      <c r="B584" s="3" t="str">
        <f t="shared" si="40"/>
        <v/>
      </c>
      <c r="C584" s="3" t="str">
        <f>IF(A584="","",(-PMT(Refinance_Calculator!$C$13/12,Refinance_Calculator!$C$16,Full_Report!$B$86,0,0)))</f>
        <v/>
      </c>
      <c r="D584" s="3" t="str">
        <f t="shared" si="41"/>
        <v/>
      </c>
      <c r="E584" s="3" t="str">
        <f>IF(A584="","",(-PPMT(Refinance_Calculator!$C$13/12,Full_Report!A584,Refinance_Calculator!$C$16,Full_Report!$B$86,0,0)))</f>
        <v/>
      </c>
      <c r="F584" s="3" t="str">
        <f t="shared" si="42"/>
        <v/>
      </c>
      <c r="G584" s="5" t="str">
        <f t="shared" si="38"/>
        <v/>
      </c>
      <c r="H584" s="5" t="str">
        <f t="shared" si="39"/>
        <v/>
      </c>
    </row>
    <row r="585" spans="1:8" x14ac:dyDescent="0.25">
      <c r="A585" s="1" t="str">
        <f>IF(OR(A584="",F584=0,A584=Refinance_Calculator!$C$16),"",A584+1)</f>
        <v/>
      </c>
      <c r="B585" s="3" t="str">
        <f t="shared" si="40"/>
        <v/>
      </c>
      <c r="C585" s="3" t="str">
        <f>IF(A585="","",(-PMT(Refinance_Calculator!$C$13/12,Refinance_Calculator!$C$16,Full_Report!$B$86,0,0)))</f>
        <v/>
      </c>
      <c r="D585" s="3" t="str">
        <f t="shared" si="41"/>
        <v/>
      </c>
      <c r="E585" s="3" t="str">
        <f>IF(A585="","",(-PPMT(Refinance_Calculator!$C$13/12,Full_Report!A585,Refinance_Calculator!$C$16,Full_Report!$B$86,0,0)))</f>
        <v/>
      </c>
      <c r="F585" s="3" t="str">
        <f t="shared" si="42"/>
        <v/>
      </c>
      <c r="G585" s="5" t="str">
        <f t="shared" si="38"/>
        <v/>
      </c>
      <c r="H585" s="5" t="str">
        <f t="shared" si="39"/>
        <v/>
      </c>
    </row>
    <row r="586" spans="1:8" x14ac:dyDescent="0.25">
      <c r="A586" s="1" t="str">
        <f>IF(OR(A585="",F585=0,A585=Refinance_Calculator!$C$16),"",A585+1)</f>
        <v/>
      </c>
      <c r="B586" s="3" t="str">
        <f t="shared" si="40"/>
        <v/>
      </c>
      <c r="C586" s="3" t="str">
        <f>IF(A586="","",(-PMT(Refinance_Calculator!$C$13/12,Refinance_Calculator!$C$16,Full_Report!$B$86,0,0)))</f>
        <v/>
      </c>
      <c r="D586" s="3" t="str">
        <f t="shared" si="41"/>
        <v/>
      </c>
      <c r="E586" s="3" t="str">
        <f>IF(A586="","",(-PPMT(Refinance_Calculator!$C$13/12,Full_Report!A586,Refinance_Calculator!$C$16,Full_Report!$B$86,0,0)))</f>
        <v/>
      </c>
      <c r="F586" s="3" t="str">
        <f t="shared" si="42"/>
        <v/>
      </c>
      <c r="G586" s="5" t="str">
        <f t="shared" si="38"/>
        <v/>
      </c>
      <c r="H586" s="5" t="str">
        <f t="shared" si="39"/>
        <v/>
      </c>
    </row>
    <row r="587" spans="1:8" x14ac:dyDescent="0.25">
      <c r="A587" s="1" t="str">
        <f>IF(OR(A586="",F586=0,A586=Refinance_Calculator!$C$16),"",A586+1)</f>
        <v/>
      </c>
      <c r="B587" s="3" t="str">
        <f t="shared" si="40"/>
        <v/>
      </c>
      <c r="C587" s="3" t="str">
        <f>IF(A587="","",(-PMT(Refinance_Calculator!$C$13/12,Refinance_Calculator!$C$16,Full_Report!$B$86,0,0)))</f>
        <v/>
      </c>
      <c r="D587" s="3" t="str">
        <f t="shared" si="41"/>
        <v/>
      </c>
      <c r="E587" s="3" t="str">
        <f>IF(A587="","",(-PPMT(Refinance_Calculator!$C$13/12,Full_Report!A587,Refinance_Calculator!$C$16,Full_Report!$B$86,0,0)))</f>
        <v/>
      </c>
      <c r="F587" s="3" t="str">
        <f t="shared" si="42"/>
        <v/>
      </c>
      <c r="G587" s="5" t="str">
        <f t="shared" si="38"/>
        <v/>
      </c>
      <c r="H587" s="5" t="str">
        <f t="shared" si="39"/>
        <v/>
      </c>
    </row>
    <row r="588" spans="1:8" x14ac:dyDescent="0.25">
      <c r="A588" s="1" t="str">
        <f>IF(OR(A587="",F587=0,A587=Refinance_Calculator!$C$16),"",A587+1)</f>
        <v/>
      </c>
      <c r="B588" s="3" t="str">
        <f t="shared" si="40"/>
        <v/>
      </c>
      <c r="C588" s="3" t="str">
        <f>IF(A588="","",(-PMT(Refinance_Calculator!$C$13/12,Refinance_Calculator!$C$16,Full_Report!$B$86,0,0)))</f>
        <v/>
      </c>
      <c r="D588" s="3" t="str">
        <f t="shared" si="41"/>
        <v/>
      </c>
      <c r="E588" s="3" t="str">
        <f>IF(A588="","",(-PPMT(Refinance_Calculator!$C$13/12,Full_Report!A588,Refinance_Calculator!$C$16,Full_Report!$B$86,0,0)))</f>
        <v/>
      </c>
      <c r="F588" s="3" t="str">
        <f t="shared" si="42"/>
        <v/>
      </c>
      <c r="G588" s="5" t="str">
        <f t="shared" si="38"/>
        <v/>
      </c>
      <c r="H588" s="5" t="str">
        <f t="shared" si="39"/>
        <v/>
      </c>
    </row>
    <row r="589" spans="1:8" x14ac:dyDescent="0.25">
      <c r="A589" s="1" t="str">
        <f>IF(OR(A588="",F588=0,A588=Refinance_Calculator!$C$16),"",A588+1)</f>
        <v/>
      </c>
      <c r="B589" s="3" t="str">
        <f t="shared" si="40"/>
        <v/>
      </c>
      <c r="C589" s="3" t="str">
        <f>IF(A589="","",(-PMT(Refinance_Calculator!$C$13/12,Refinance_Calculator!$C$16,Full_Report!$B$86,0,0)))</f>
        <v/>
      </c>
      <c r="D589" s="3" t="str">
        <f t="shared" si="41"/>
        <v/>
      </c>
      <c r="E589" s="3" t="str">
        <f>IF(A589="","",(-PPMT(Refinance_Calculator!$C$13/12,Full_Report!A589,Refinance_Calculator!$C$16,Full_Report!$B$86,0,0)))</f>
        <v/>
      </c>
      <c r="F589" s="3" t="str">
        <f t="shared" si="42"/>
        <v/>
      </c>
      <c r="G589" s="5" t="str">
        <f t="shared" si="38"/>
        <v/>
      </c>
      <c r="H589" s="5" t="str">
        <f t="shared" si="39"/>
        <v/>
      </c>
    </row>
    <row r="590" spans="1:8" x14ac:dyDescent="0.25">
      <c r="A590" s="1" t="str">
        <f>IF(OR(A589="",F589=0,A589=Refinance_Calculator!$C$16),"",A589+1)</f>
        <v/>
      </c>
      <c r="B590" s="3" t="str">
        <f t="shared" si="40"/>
        <v/>
      </c>
      <c r="C590" s="3" t="str">
        <f>IF(A590="","",(-PMT(Refinance_Calculator!$C$13/12,Refinance_Calculator!$C$16,Full_Report!$B$86,0,0)))</f>
        <v/>
      </c>
      <c r="D590" s="3" t="str">
        <f t="shared" si="41"/>
        <v/>
      </c>
      <c r="E590" s="3" t="str">
        <f>IF(A590="","",(-PPMT(Refinance_Calculator!$C$13/12,Full_Report!A590,Refinance_Calculator!$C$16,Full_Report!$B$86,0,0)))</f>
        <v/>
      </c>
      <c r="F590" s="3" t="str">
        <f t="shared" si="42"/>
        <v/>
      </c>
      <c r="G590" s="5" t="str">
        <f t="shared" si="38"/>
        <v/>
      </c>
      <c r="H590" s="5" t="str">
        <f t="shared" si="39"/>
        <v/>
      </c>
    </row>
    <row r="591" spans="1:8" x14ac:dyDescent="0.25">
      <c r="A591" s="1" t="str">
        <f>IF(OR(A590="",F590=0,A590=Refinance_Calculator!$C$16),"",A590+1)</f>
        <v/>
      </c>
      <c r="B591" s="3" t="str">
        <f t="shared" si="40"/>
        <v/>
      </c>
      <c r="C591" s="3" t="str">
        <f>IF(A591="","",(-PMT(Refinance_Calculator!$C$13/12,Refinance_Calculator!$C$16,Full_Report!$B$86,0,0)))</f>
        <v/>
      </c>
      <c r="D591" s="3" t="str">
        <f t="shared" si="41"/>
        <v/>
      </c>
      <c r="E591" s="3" t="str">
        <f>IF(A591="","",(-PPMT(Refinance_Calculator!$C$13/12,Full_Report!A591,Refinance_Calculator!$C$16,Full_Report!$B$86,0,0)))</f>
        <v/>
      </c>
      <c r="F591" s="3" t="str">
        <f t="shared" si="42"/>
        <v/>
      </c>
      <c r="G591" s="5" t="str">
        <f t="shared" si="38"/>
        <v/>
      </c>
      <c r="H591" s="5" t="str">
        <f t="shared" si="39"/>
        <v/>
      </c>
    </row>
    <row r="592" spans="1:8" x14ac:dyDescent="0.25">
      <c r="A592" s="1" t="str">
        <f>IF(OR(A591="",F591=0,A591=Refinance_Calculator!$C$16),"",A591+1)</f>
        <v/>
      </c>
      <c r="B592" s="3" t="str">
        <f t="shared" si="40"/>
        <v/>
      </c>
      <c r="C592" s="3" t="str">
        <f>IF(A592="","",(-PMT(Refinance_Calculator!$C$13/12,Refinance_Calculator!$C$16,Full_Report!$B$86,0,0)))</f>
        <v/>
      </c>
      <c r="D592" s="3" t="str">
        <f t="shared" si="41"/>
        <v/>
      </c>
      <c r="E592" s="3" t="str">
        <f>IF(A592="","",(-PPMT(Refinance_Calculator!$C$13/12,Full_Report!A592,Refinance_Calculator!$C$16,Full_Report!$B$86,0,0)))</f>
        <v/>
      </c>
      <c r="F592" s="3" t="str">
        <f t="shared" si="42"/>
        <v/>
      </c>
      <c r="G592" s="5" t="str">
        <f t="shared" si="38"/>
        <v/>
      </c>
      <c r="H592" s="5" t="str">
        <f t="shared" si="39"/>
        <v/>
      </c>
    </row>
    <row r="593" spans="1:8" x14ac:dyDescent="0.25">
      <c r="A593" s="1" t="str">
        <f>IF(OR(A592="",F592=0,A592=Refinance_Calculator!$C$16),"",A592+1)</f>
        <v/>
      </c>
      <c r="B593" s="3" t="str">
        <f t="shared" si="40"/>
        <v/>
      </c>
      <c r="C593" s="3" t="str">
        <f>IF(A593="","",(-PMT(Refinance_Calculator!$C$13/12,Refinance_Calculator!$C$16,Full_Report!$B$86,0,0)))</f>
        <v/>
      </c>
      <c r="D593" s="3" t="str">
        <f t="shared" si="41"/>
        <v/>
      </c>
      <c r="E593" s="3" t="str">
        <f>IF(A593="","",(-PPMT(Refinance_Calculator!$C$13/12,Full_Report!A593,Refinance_Calculator!$C$16,Full_Report!$B$86,0,0)))</f>
        <v/>
      </c>
      <c r="F593" s="3" t="str">
        <f t="shared" si="42"/>
        <v/>
      </c>
      <c r="G593" s="5" t="str">
        <f t="shared" si="38"/>
        <v/>
      </c>
      <c r="H593" s="5" t="str">
        <f t="shared" si="39"/>
        <v/>
      </c>
    </row>
    <row r="594" spans="1:8" x14ac:dyDescent="0.25">
      <c r="A594" s="1" t="str">
        <f>IF(OR(A593="",F593=0,A593=Refinance_Calculator!$C$16),"",A593+1)</f>
        <v/>
      </c>
      <c r="B594" s="3" t="str">
        <f t="shared" si="40"/>
        <v/>
      </c>
      <c r="C594" s="3" t="str">
        <f>IF(A594="","",(-PMT(Refinance_Calculator!$C$13/12,Refinance_Calculator!$C$16,Full_Report!$B$86,0,0)))</f>
        <v/>
      </c>
      <c r="D594" s="3" t="str">
        <f t="shared" si="41"/>
        <v/>
      </c>
      <c r="E594" s="3" t="str">
        <f>IF(A594="","",(-PPMT(Refinance_Calculator!$C$13/12,Full_Report!A594,Refinance_Calculator!$C$16,Full_Report!$B$86,0,0)))</f>
        <v/>
      </c>
      <c r="F594" s="3" t="str">
        <f t="shared" si="42"/>
        <v/>
      </c>
      <c r="G594" s="5" t="str">
        <f t="shared" si="38"/>
        <v/>
      </c>
      <c r="H594" s="5" t="str">
        <f t="shared" si="39"/>
        <v/>
      </c>
    </row>
    <row r="595" spans="1:8" x14ac:dyDescent="0.25">
      <c r="A595" s="1" t="str">
        <f>IF(OR(A594="",F594=0,A594=Refinance_Calculator!$C$16),"",A594+1)</f>
        <v/>
      </c>
      <c r="B595" s="3" t="str">
        <f t="shared" si="40"/>
        <v/>
      </c>
      <c r="C595" s="3" t="str">
        <f>IF(A595="","",(-PMT(Refinance_Calculator!$C$13/12,Refinance_Calculator!$C$16,Full_Report!$B$86,0,0)))</f>
        <v/>
      </c>
      <c r="D595" s="3" t="str">
        <f t="shared" si="41"/>
        <v/>
      </c>
      <c r="E595" s="3" t="str">
        <f>IF(A595="","",(-PPMT(Refinance_Calculator!$C$13/12,Full_Report!A595,Refinance_Calculator!$C$16,Full_Report!$B$86,0,0)))</f>
        <v/>
      </c>
      <c r="F595" s="3" t="str">
        <f t="shared" si="42"/>
        <v/>
      </c>
      <c r="G595" s="5" t="str">
        <f t="shared" si="38"/>
        <v/>
      </c>
      <c r="H595" s="5" t="str">
        <f t="shared" si="39"/>
        <v/>
      </c>
    </row>
    <row r="596" spans="1:8" x14ac:dyDescent="0.25">
      <c r="A596" s="1" t="str">
        <f>IF(OR(A595="",F595=0,A595=Refinance_Calculator!$C$16),"",A595+1)</f>
        <v/>
      </c>
      <c r="B596" s="3" t="str">
        <f t="shared" si="40"/>
        <v/>
      </c>
      <c r="C596" s="3" t="str">
        <f>IF(A596="","",(-PMT(Refinance_Calculator!$C$13/12,Refinance_Calculator!$C$16,Full_Report!$B$86,0,0)))</f>
        <v/>
      </c>
      <c r="D596" s="3" t="str">
        <f t="shared" si="41"/>
        <v/>
      </c>
      <c r="E596" s="3" t="str">
        <f>IF(A596="","",(-PPMT(Refinance_Calculator!$C$13/12,Full_Report!A596,Refinance_Calculator!$C$16,Full_Report!$B$86,0,0)))</f>
        <v/>
      </c>
      <c r="F596" s="3" t="str">
        <f t="shared" si="42"/>
        <v/>
      </c>
      <c r="G596" s="5" t="str">
        <f t="shared" si="38"/>
        <v/>
      </c>
      <c r="H596" s="5" t="str">
        <f t="shared" si="39"/>
        <v/>
      </c>
    </row>
    <row r="597" spans="1:8" x14ac:dyDescent="0.25">
      <c r="A597" s="1" t="str">
        <f>IF(OR(A596="",F596=0,A596=Refinance_Calculator!$C$16),"",A596+1)</f>
        <v/>
      </c>
      <c r="B597" s="3" t="str">
        <f t="shared" si="40"/>
        <v/>
      </c>
      <c r="C597" s="3" t="str">
        <f>IF(A597="","",(-PMT(Refinance_Calculator!$C$13/12,Refinance_Calculator!$C$16,Full_Report!$B$86,0,0)))</f>
        <v/>
      </c>
      <c r="D597" s="3" t="str">
        <f t="shared" si="41"/>
        <v/>
      </c>
      <c r="E597" s="3" t="str">
        <f>IF(A597="","",(-PPMT(Refinance_Calculator!$C$13/12,Full_Report!A597,Refinance_Calculator!$C$16,Full_Report!$B$86,0,0)))</f>
        <v/>
      </c>
      <c r="F597" s="3" t="str">
        <f t="shared" si="42"/>
        <v/>
      </c>
      <c r="G597" s="5" t="str">
        <f t="shared" si="38"/>
        <v/>
      </c>
      <c r="H597" s="5" t="str">
        <f t="shared" si="39"/>
        <v/>
      </c>
    </row>
    <row r="598" spans="1:8" x14ac:dyDescent="0.25">
      <c r="A598" s="1" t="str">
        <f>IF(OR(A597="",F597=0,A597=Refinance_Calculator!$C$16),"",A597+1)</f>
        <v/>
      </c>
      <c r="B598" s="3" t="str">
        <f t="shared" si="40"/>
        <v/>
      </c>
      <c r="C598" s="3" t="str">
        <f>IF(A598="","",(-PMT(Refinance_Calculator!$C$13/12,Refinance_Calculator!$C$16,Full_Report!$B$86,0,0)))</f>
        <v/>
      </c>
      <c r="D598" s="3" t="str">
        <f t="shared" si="41"/>
        <v/>
      </c>
      <c r="E598" s="3" t="str">
        <f>IF(A598="","",(-PPMT(Refinance_Calculator!$C$13/12,Full_Report!A598,Refinance_Calculator!$C$16,Full_Report!$B$86,0,0)))</f>
        <v/>
      </c>
      <c r="F598" s="3" t="str">
        <f t="shared" si="42"/>
        <v/>
      </c>
      <c r="G598" s="5" t="str">
        <f t="shared" si="38"/>
        <v/>
      </c>
      <c r="H598" s="5" t="str">
        <f t="shared" si="39"/>
        <v/>
      </c>
    </row>
    <row r="599" spans="1:8" x14ac:dyDescent="0.25">
      <c r="A599" s="1" t="str">
        <f>IF(OR(A598="",F598=0,A598=Refinance_Calculator!$C$16),"",A598+1)</f>
        <v/>
      </c>
      <c r="B599" s="3" t="str">
        <f t="shared" si="40"/>
        <v/>
      </c>
      <c r="C599" s="3" t="str">
        <f>IF(A599="","",(-PMT(Refinance_Calculator!$C$13/12,Refinance_Calculator!$C$16,Full_Report!$B$86,0,0)))</f>
        <v/>
      </c>
      <c r="D599" s="3" t="str">
        <f t="shared" si="41"/>
        <v/>
      </c>
      <c r="E599" s="3" t="str">
        <f>IF(A599="","",(-PPMT(Refinance_Calculator!$C$13/12,Full_Report!A599,Refinance_Calculator!$C$16,Full_Report!$B$86,0,0)))</f>
        <v/>
      </c>
      <c r="F599" s="3" t="str">
        <f t="shared" si="42"/>
        <v/>
      </c>
      <c r="G599" s="5" t="str">
        <f t="shared" si="38"/>
        <v/>
      </c>
      <c r="H599" s="5" t="str">
        <f t="shared" si="39"/>
        <v/>
      </c>
    </row>
    <row r="600" spans="1:8" x14ac:dyDescent="0.25">
      <c r="A600" s="1" t="str">
        <f>IF(OR(A599="",F599=0,A599=Refinance_Calculator!$C$16),"",A599+1)</f>
        <v/>
      </c>
      <c r="B600" s="3" t="str">
        <f t="shared" si="40"/>
        <v/>
      </c>
      <c r="C600" s="3" t="str">
        <f>IF(A600="","",(-PMT(Refinance_Calculator!$C$13/12,Refinance_Calculator!$C$16,Full_Report!$B$86,0,0)))</f>
        <v/>
      </c>
      <c r="D600" s="3" t="str">
        <f t="shared" si="41"/>
        <v/>
      </c>
      <c r="E600" s="3" t="str">
        <f>IF(A600="","",(-PPMT(Refinance_Calculator!$C$13/12,Full_Report!A600,Refinance_Calculator!$C$16,Full_Report!$B$86,0,0)))</f>
        <v/>
      </c>
      <c r="F600" s="3" t="str">
        <f t="shared" si="42"/>
        <v/>
      </c>
      <c r="G600" s="5" t="str">
        <f t="shared" ref="G600:G663" si="43">+IF(A600="","",(E600+G599))</f>
        <v/>
      </c>
      <c r="H600" s="5" t="str">
        <f t="shared" ref="H600:H663" si="44">+IF(B600="","",(D600+H599))</f>
        <v/>
      </c>
    </row>
    <row r="601" spans="1:8" x14ac:dyDescent="0.25">
      <c r="A601" s="1" t="str">
        <f>IF(OR(A600="",F600=0,A600=Refinance_Calculator!$C$16),"",A600+1)</f>
        <v/>
      </c>
      <c r="B601" s="3" t="str">
        <f t="shared" si="40"/>
        <v/>
      </c>
      <c r="C601" s="3" t="str">
        <f>IF(A601="","",(-PMT(Refinance_Calculator!$C$13/12,Refinance_Calculator!$C$16,Full_Report!$B$86,0,0)))</f>
        <v/>
      </c>
      <c r="D601" s="3" t="str">
        <f t="shared" si="41"/>
        <v/>
      </c>
      <c r="E601" s="3" t="str">
        <f>IF(A601="","",(-PPMT(Refinance_Calculator!$C$13/12,Full_Report!A601,Refinance_Calculator!$C$16,Full_Report!$B$86,0,0)))</f>
        <v/>
      </c>
      <c r="F601" s="3" t="str">
        <f t="shared" si="42"/>
        <v/>
      </c>
      <c r="G601" s="5" t="str">
        <f t="shared" si="43"/>
        <v/>
      </c>
      <c r="H601" s="5" t="str">
        <f t="shared" si="44"/>
        <v/>
      </c>
    </row>
    <row r="602" spans="1:8" x14ac:dyDescent="0.25">
      <c r="A602" s="1" t="str">
        <f>IF(OR(A601="",F601=0,A601=Refinance_Calculator!$C$16),"",A601+1)</f>
        <v/>
      </c>
      <c r="B602" s="3" t="str">
        <f t="shared" si="40"/>
        <v/>
      </c>
      <c r="C602" s="3" t="str">
        <f>IF(A602="","",(-PMT(Refinance_Calculator!$C$13/12,Refinance_Calculator!$C$16,Full_Report!$B$86,0,0)))</f>
        <v/>
      </c>
      <c r="D602" s="3" t="str">
        <f t="shared" si="41"/>
        <v/>
      </c>
      <c r="E602" s="3" t="str">
        <f>IF(A602="","",(-PPMT(Refinance_Calculator!$C$13/12,Full_Report!A602,Refinance_Calculator!$C$16,Full_Report!$B$86,0,0)))</f>
        <v/>
      </c>
      <c r="F602" s="3" t="str">
        <f t="shared" si="42"/>
        <v/>
      </c>
      <c r="G602" s="5" t="str">
        <f t="shared" si="43"/>
        <v/>
      </c>
      <c r="H602" s="5" t="str">
        <f t="shared" si="44"/>
        <v/>
      </c>
    </row>
    <row r="603" spans="1:8" x14ac:dyDescent="0.25">
      <c r="A603" s="1" t="str">
        <f>IF(OR(A602="",F602=0,A602=Refinance_Calculator!$C$16),"",A602+1)</f>
        <v/>
      </c>
      <c r="B603" s="3" t="str">
        <f t="shared" si="40"/>
        <v/>
      </c>
      <c r="C603" s="3" t="str">
        <f>IF(A603="","",(-PMT(Refinance_Calculator!$C$13/12,Refinance_Calculator!$C$16,Full_Report!$B$86,0,0)))</f>
        <v/>
      </c>
      <c r="D603" s="3" t="str">
        <f t="shared" si="41"/>
        <v/>
      </c>
      <c r="E603" s="3" t="str">
        <f>IF(A603="","",(-PPMT(Refinance_Calculator!$C$13/12,Full_Report!A603,Refinance_Calculator!$C$16,Full_Report!$B$86,0,0)))</f>
        <v/>
      </c>
      <c r="F603" s="3" t="str">
        <f t="shared" si="42"/>
        <v/>
      </c>
      <c r="G603" s="5" t="str">
        <f t="shared" si="43"/>
        <v/>
      </c>
      <c r="H603" s="5" t="str">
        <f t="shared" si="44"/>
        <v/>
      </c>
    </row>
    <row r="604" spans="1:8" x14ac:dyDescent="0.25">
      <c r="A604" s="1" t="str">
        <f>IF(OR(A603="",F603=0,A603=Refinance_Calculator!$C$16),"",A603+1)</f>
        <v/>
      </c>
      <c r="B604" s="3" t="str">
        <f t="shared" si="40"/>
        <v/>
      </c>
      <c r="C604" s="3" t="str">
        <f>IF(A604="","",(-PMT(Refinance_Calculator!$C$13/12,Refinance_Calculator!$C$16,Full_Report!$B$86,0,0)))</f>
        <v/>
      </c>
      <c r="D604" s="3" t="str">
        <f t="shared" si="41"/>
        <v/>
      </c>
      <c r="E604" s="3" t="str">
        <f>IF(A604="","",(-PPMT(Refinance_Calculator!$C$13/12,Full_Report!A604,Refinance_Calculator!$C$16,Full_Report!$B$86,0,0)))</f>
        <v/>
      </c>
      <c r="F604" s="3" t="str">
        <f t="shared" si="42"/>
        <v/>
      </c>
      <c r="G604" s="5" t="str">
        <f t="shared" si="43"/>
        <v/>
      </c>
      <c r="H604" s="5" t="str">
        <f t="shared" si="44"/>
        <v/>
      </c>
    </row>
    <row r="605" spans="1:8" x14ac:dyDescent="0.25">
      <c r="A605" s="1" t="str">
        <f>IF(OR(A604="",F604=0,A604=Refinance_Calculator!$C$16),"",A604+1)</f>
        <v/>
      </c>
      <c r="B605" s="3" t="str">
        <f t="shared" si="40"/>
        <v/>
      </c>
      <c r="C605" s="3" t="str">
        <f>IF(A605="","",(-PMT(Refinance_Calculator!$C$13/12,Refinance_Calculator!$C$16,Full_Report!$B$86,0,0)))</f>
        <v/>
      </c>
      <c r="D605" s="3" t="str">
        <f t="shared" si="41"/>
        <v/>
      </c>
      <c r="E605" s="3" t="str">
        <f>IF(A605="","",(-PPMT(Refinance_Calculator!$C$13/12,Full_Report!A605,Refinance_Calculator!$C$16,Full_Report!$B$86,0,0)))</f>
        <v/>
      </c>
      <c r="F605" s="3" t="str">
        <f t="shared" si="42"/>
        <v/>
      </c>
      <c r="G605" s="5" t="str">
        <f t="shared" si="43"/>
        <v/>
      </c>
      <c r="H605" s="5" t="str">
        <f t="shared" si="44"/>
        <v/>
      </c>
    </row>
    <row r="606" spans="1:8" x14ac:dyDescent="0.25">
      <c r="A606" s="1" t="str">
        <f>IF(OR(A605="",F605=0,A605=Refinance_Calculator!$C$16),"",A605+1)</f>
        <v/>
      </c>
      <c r="B606" s="3" t="str">
        <f t="shared" si="40"/>
        <v/>
      </c>
      <c r="C606" s="3" t="str">
        <f>IF(A606="","",(-PMT(Refinance_Calculator!$C$13/12,Refinance_Calculator!$C$16,Full_Report!$B$86,0,0)))</f>
        <v/>
      </c>
      <c r="D606" s="3" t="str">
        <f t="shared" si="41"/>
        <v/>
      </c>
      <c r="E606" s="3" t="str">
        <f>IF(A606="","",(-PPMT(Refinance_Calculator!$C$13/12,Full_Report!A606,Refinance_Calculator!$C$16,Full_Report!$B$86,0,0)))</f>
        <v/>
      </c>
      <c r="F606" s="3" t="str">
        <f t="shared" si="42"/>
        <v/>
      </c>
      <c r="G606" s="5" t="str">
        <f t="shared" si="43"/>
        <v/>
      </c>
      <c r="H606" s="5" t="str">
        <f t="shared" si="44"/>
        <v/>
      </c>
    </row>
    <row r="607" spans="1:8" x14ac:dyDescent="0.25">
      <c r="A607" s="1" t="str">
        <f>IF(OR(A606="",F606=0,A606=Refinance_Calculator!$C$16),"",A606+1)</f>
        <v/>
      </c>
      <c r="B607" s="3" t="str">
        <f t="shared" si="40"/>
        <v/>
      </c>
      <c r="C607" s="3" t="str">
        <f>IF(A607="","",(-PMT(Refinance_Calculator!$C$13/12,Refinance_Calculator!$C$16,Full_Report!$B$86,0,0)))</f>
        <v/>
      </c>
      <c r="D607" s="3" t="str">
        <f t="shared" si="41"/>
        <v/>
      </c>
      <c r="E607" s="3" t="str">
        <f>IF(A607="","",(-PPMT(Refinance_Calculator!$C$13/12,Full_Report!A607,Refinance_Calculator!$C$16,Full_Report!$B$86,0,0)))</f>
        <v/>
      </c>
      <c r="F607" s="3" t="str">
        <f t="shared" si="42"/>
        <v/>
      </c>
      <c r="G607" s="5" t="str">
        <f t="shared" si="43"/>
        <v/>
      </c>
      <c r="H607" s="5" t="str">
        <f t="shared" si="44"/>
        <v/>
      </c>
    </row>
    <row r="608" spans="1:8" x14ac:dyDescent="0.25">
      <c r="A608" s="1" t="str">
        <f>IF(OR(A607="",F607=0,A607=Refinance_Calculator!$C$16),"",A607+1)</f>
        <v/>
      </c>
      <c r="B608" s="3" t="str">
        <f t="shared" si="40"/>
        <v/>
      </c>
      <c r="C608" s="3" t="str">
        <f>IF(A608="","",(-PMT(Refinance_Calculator!$C$13/12,Refinance_Calculator!$C$16,Full_Report!$B$86,0,0)))</f>
        <v/>
      </c>
      <c r="D608" s="3" t="str">
        <f t="shared" si="41"/>
        <v/>
      </c>
      <c r="E608" s="3" t="str">
        <f>IF(A608="","",(-PPMT(Refinance_Calculator!$C$13/12,Full_Report!A608,Refinance_Calculator!$C$16,Full_Report!$B$86,0,0)))</f>
        <v/>
      </c>
      <c r="F608" s="3" t="str">
        <f t="shared" si="42"/>
        <v/>
      </c>
      <c r="G608" s="5" t="str">
        <f t="shared" si="43"/>
        <v/>
      </c>
      <c r="H608" s="5" t="str">
        <f t="shared" si="44"/>
        <v/>
      </c>
    </row>
    <row r="609" spans="1:8" x14ac:dyDescent="0.25">
      <c r="A609" s="1" t="str">
        <f>IF(OR(A608="",F608=0,A608=Refinance_Calculator!$C$16),"",A608+1)</f>
        <v/>
      </c>
      <c r="B609" s="3" t="str">
        <f t="shared" si="40"/>
        <v/>
      </c>
      <c r="C609" s="3" t="str">
        <f>IF(A609="","",(-PMT(Refinance_Calculator!$C$13/12,Refinance_Calculator!$C$16,Full_Report!$B$86,0,0)))</f>
        <v/>
      </c>
      <c r="D609" s="3" t="str">
        <f t="shared" si="41"/>
        <v/>
      </c>
      <c r="E609" s="3" t="str">
        <f>IF(A609="","",(-PPMT(Refinance_Calculator!$C$13/12,Full_Report!A609,Refinance_Calculator!$C$16,Full_Report!$B$86,0,0)))</f>
        <v/>
      </c>
      <c r="F609" s="3" t="str">
        <f t="shared" si="42"/>
        <v/>
      </c>
      <c r="G609" s="5" t="str">
        <f t="shared" si="43"/>
        <v/>
      </c>
      <c r="H609" s="5" t="str">
        <f t="shared" si="44"/>
        <v/>
      </c>
    </row>
    <row r="610" spans="1:8" x14ac:dyDescent="0.25">
      <c r="A610" s="1" t="str">
        <f>IF(OR(A609="",F609=0,A609=Refinance_Calculator!$C$16),"",A609+1)</f>
        <v/>
      </c>
      <c r="B610" s="3" t="str">
        <f t="shared" ref="B610:B673" si="45">IF(A610="","",(F609))</f>
        <v/>
      </c>
      <c r="C610" s="3" t="str">
        <f>IF(A610="","",(-PMT(Refinance_Calculator!$C$13/12,Refinance_Calculator!$C$16,Full_Report!$B$86,0,0)))</f>
        <v/>
      </c>
      <c r="D610" s="3" t="str">
        <f t="shared" ref="D610:D673" si="46">+IF(A610="","",(C610-E610))</f>
        <v/>
      </c>
      <c r="E610" s="3" t="str">
        <f>IF(A610="","",(-PPMT(Refinance_Calculator!$C$13/12,Full_Report!A610,Refinance_Calculator!$C$16,Full_Report!$B$86,0,0)))</f>
        <v/>
      </c>
      <c r="F610" s="3" t="str">
        <f t="shared" ref="F610:F673" si="47">IF(A610="","",(B610-E610))</f>
        <v/>
      </c>
      <c r="G610" s="5" t="str">
        <f t="shared" si="43"/>
        <v/>
      </c>
      <c r="H610" s="5" t="str">
        <f t="shared" si="44"/>
        <v/>
      </c>
    </row>
    <row r="611" spans="1:8" x14ac:dyDescent="0.25">
      <c r="A611" s="1" t="str">
        <f>IF(OR(A610="",F610=0,A610=Refinance_Calculator!$C$16),"",A610+1)</f>
        <v/>
      </c>
      <c r="B611" s="3" t="str">
        <f t="shared" si="45"/>
        <v/>
      </c>
      <c r="C611" s="3" t="str">
        <f>IF(A611="","",(-PMT(Refinance_Calculator!$C$13/12,Refinance_Calculator!$C$16,Full_Report!$B$86,0,0)))</f>
        <v/>
      </c>
      <c r="D611" s="3" t="str">
        <f t="shared" si="46"/>
        <v/>
      </c>
      <c r="E611" s="3" t="str">
        <f>IF(A611="","",(-PPMT(Refinance_Calculator!$C$13/12,Full_Report!A611,Refinance_Calculator!$C$16,Full_Report!$B$86,0,0)))</f>
        <v/>
      </c>
      <c r="F611" s="3" t="str">
        <f t="shared" si="47"/>
        <v/>
      </c>
      <c r="G611" s="5" t="str">
        <f t="shared" si="43"/>
        <v/>
      </c>
      <c r="H611" s="5" t="str">
        <f t="shared" si="44"/>
        <v/>
      </c>
    </row>
    <row r="612" spans="1:8" x14ac:dyDescent="0.25">
      <c r="A612" s="1" t="str">
        <f>IF(OR(A611="",F611=0,A611=Refinance_Calculator!$C$16),"",A611+1)</f>
        <v/>
      </c>
      <c r="B612" s="3" t="str">
        <f t="shared" si="45"/>
        <v/>
      </c>
      <c r="C612" s="3" t="str">
        <f>IF(A612="","",(-PMT(Refinance_Calculator!$C$13/12,Refinance_Calculator!$C$16,Full_Report!$B$86,0,0)))</f>
        <v/>
      </c>
      <c r="D612" s="3" t="str">
        <f t="shared" si="46"/>
        <v/>
      </c>
      <c r="E612" s="3" t="str">
        <f>IF(A612="","",(-PPMT(Refinance_Calculator!$C$13/12,Full_Report!A612,Refinance_Calculator!$C$16,Full_Report!$B$86,0,0)))</f>
        <v/>
      </c>
      <c r="F612" s="3" t="str">
        <f t="shared" si="47"/>
        <v/>
      </c>
      <c r="G612" s="5" t="str">
        <f t="shared" si="43"/>
        <v/>
      </c>
      <c r="H612" s="5" t="str">
        <f t="shared" si="44"/>
        <v/>
      </c>
    </row>
    <row r="613" spans="1:8" x14ac:dyDescent="0.25">
      <c r="A613" s="1" t="str">
        <f>IF(OR(A612="",F612=0,A612=Refinance_Calculator!$C$16),"",A612+1)</f>
        <v/>
      </c>
      <c r="B613" s="3" t="str">
        <f t="shared" si="45"/>
        <v/>
      </c>
      <c r="C613" s="3" t="str">
        <f>IF(A613="","",(-PMT(Refinance_Calculator!$C$13/12,Refinance_Calculator!$C$16,Full_Report!$B$86,0,0)))</f>
        <v/>
      </c>
      <c r="D613" s="3" t="str">
        <f t="shared" si="46"/>
        <v/>
      </c>
      <c r="E613" s="3" t="str">
        <f>IF(A613="","",(-PPMT(Refinance_Calculator!$C$13/12,Full_Report!A613,Refinance_Calculator!$C$16,Full_Report!$B$86,0,0)))</f>
        <v/>
      </c>
      <c r="F613" s="3" t="str">
        <f t="shared" si="47"/>
        <v/>
      </c>
      <c r="G613" s="5" t="str">
        <f t="shared" si="43"/>
        <v/>
      </c>
      <c r="H613" s="5" t="str">
        <f t="shared" si="44"/>
        <v/>
      </c>
    </row>
    <row r="614" spans="1:8" x14ac:dyDescent="0.25">
      <c r="A614" s="1" t="str">
        <f>IF(OR(A613="",F613=0,A613=Refinance_Calculator!$C$16),"",A613+1)</f>
        <v/>
      </c>
      <c r="B614" s="3" t="str">
        <f t="shared" si="45"/>
        <v/>
      </c>
      <c r="C614" s="3" t="str">
        <f>IF(A614="","",(-PMT(Refinance_Calculator!$C$13/12,Refinance_Calculator!$C$16,Full_Report!$B$86,0,0)))</f>
        <v/>
      </c>
      <c r="D614" s="3" t="str">
        <f t="shared" si="46"/>
        <v/>
      </c>
      <c r="E614" s="3" t="str">
        <f>IF(A614="","",(-PPMT(Refinance_Calculator!$C$13/12,Full_Report!A614,Refinance_Calculator!$C$16,Full_Report!$B$86,0,0)))</f>
        <v/>
      </c>
      <c r="F614" s="3" t="str">
        <f t="shared" si="47"/>
        <v/>
      </c>
      <c r="G614" s="5" t="str">
        <f t="shared" si="43"/>
        <v/>
      </c>
      <c r="H614" s="5" t="str">
        <f t="shared" si="44"/>
        <v/>
      </c>
    </row>
    <row r="615" spans="1:8" x14ac:dyDescent="0.25">
      <c r="A615" s="1" t="str">
        <f>IF(OR(A614="",F614=0,A614=Refinance_Calculator!$C$16),"",A614+1)</f>
        <v/>
      </c>
      <c r="B615" s="3" t="str">
        <f t="shared" si="45"/>
        <v/>
      </c>
      <c r="C615" s="3" t="str">
        <f>IF(A615="","",(-PMT(Refinance_Calculator!$C$13/12,Refinance_Calculator!$C$16,Full_Report!$B$86,0,0)))</f>
        <v/>
      </c>
      <c r="D615" s="3" t="str">
        <f t="shared" si="46"/>
        <v/>
      </c>
      <c r="E615" s="3" t="str">
        <f>IF(A615="","",(-PPMT(Refinance_Calculator!$C$13/12,Full_Report!A615,Refinance_Calculator!$C$16,Full_Report!$B$86,0,0)))</f>
        <v/>
      </c>
      <c r="F615" s="3" t="str">
        <f t="shared" si="47"/>
        <v/>
      </c>
      <c r="G615" s="5" t="str">
        <f t="shared" si="43"/>
        <v/>
      </c>
      <c r="H615" s="5" t="str">
        <f t="shared" si="44"/>
        <v/>
      </c>
    </row>
    <row r="616" spans="1:8" x14ac:dyDescent="0.25">
      <c r="A616" s="1" t="str">
        <f>IF(OR(A615="",F615=0,A615=Refinance_Calculator!$C$16),"",A615+1)</f>
        <v/>
      </c>
      <c r="B616" s="3" t="str">
        <f t="shared" si="45"/>
        <v/>
      </c>
      <c r="C616" s="3" t="str">
        <f>IF(A616="","",(-PMT(Refinance_Calculator!$C$13/12,Refinance_Calculator!$C$16,Full_Report!$B$86,0,0)))</f>
        <v/>
      </c>
      <c r="D616" s="3" t="str">
        <f t="shared" si="46"/>
        <v/>
      </c>
      <c r="E616" s="3" t="str">
        <f>IF(A616="","",(-PPMT(Refinance_Calculator!$C$13/12,Full_Report!A616,Refinance_Calculator!$C$16,Full_Report!$B$86,0,0)))</f>
        <v/>
      </c>
      <c r="F616" s="3" t="str">
        <f t="shared" si="47"/>
        <v/>
      </c>
      <c r="G616" s="5" t="str">
        <f t="shared" si="43"/>
        <v/>
      </c>
      <c r="H616" s="5" t="str">
        <f t="shared" si="44"/>
        <v/>
      </c>
    </row>
    <row r="617" spans="1:8" x14ac:dyDescent="0.25">
      <c r="A617" s="1" t="str">
        <f>IF(OR(A616="",F616=0,A616=Refinance_Calculator!$C$16),"",A616+1)</f>
        <v/>
      </c>
      <c r="B617" s="3" t="str">
        <f t="shared" si="45"/>
        <v/>
      </c>
      <c r="C617" s="3" t="str">
        <f>IF(A617="","",(-PMT(Refinance_Calculator!$C$13/12,Refinance_Calculator!$C$16,Full_Report!$B$86,0,0)))</f>
        <v/>
      </c>
      <c r="D617" s="3" t="str">
        <f t="shared" si="46"/>
        <v/>
      </c>
      <c r="E617" s="3" t="str">
        <f>IF(A617="","",(-PPMT(Refinance_Calculator!$C$13/12,Full_Report!A617,Refinance_Calculator!$C$16,Full_Report!$B$86,0,0)))</f>
        <v/>
      </c>
      <c r="F617" s="3" t="str">
        <f t="shared" si="47"/>
        <v/>
      </c>
      <c r="G617" s="5" t="str">
        <f t="shared" si="43"/>
        <v/>
      </c>
      <c r="H617" s="5" t="str">
        <f t="shared" si="44"/>
        <v/>
      </c>
    </row>
    <row r="618" spans="1:8" x14ac:dyDescent="0.25">
      <c r="A618" s="1" t="str">
        <f>IF(OR(A617="",F617=0,A617=Refinance_Calculator!$C$16),"",A617+1)</f>
        <v/>
      </c>
      <c r="B618" s="3" t="str">
        <f t="shared" si="45"/>
        <v/>
      </c>
      <c r="C618" s="3" t="str">
        <f>IF(A618="","",(-PMT(Refinance_Calculator!$C$13/12,Refinance_Calculator!$C$16,Full_Report!$B$86,0,0)))</f>
        <v/>
      </c>
      <c r="D618" s="3" t="str">
        <f t="shared" si="46"/>
        <v/>
      </c>
      <c r="E618" s="3" t="str">
        <f>IF(A618="","",(-PPMT(Refinance_Calculator!$C$13/12,Full_Report!A618,Refinance_Calculator!$C$16,Full_Report!$B$86,0,0)))</f>
        <v/>
      </c>
      <c r="F618" s="3" t="str">
        <f t="shared" si="47"/>
        <v/>
      </c>
      <c r="G618" s="5" t="str">
        <f t="shared" si="43"/>
        <v/>
      </c>
      <c r="H618" s="5" t="str">
        <f t="shared" si="44"/>
        <v/>
      </c>
    </row>
    <row r="619" spans="1:8" x14ac:dyDescent="0.25">
      <c r="A619" s="1" t="str">
        <f>IF(OR(A618="",F618=0,A618=Refinance_Calculator!$C$16),"",A618+1)</f>
        <v/>
      </c>
      <c r="B619" s="3" t="str">
        <f t="shared" si="45"/>
        <v/>
      </c>
      <c r="C619" s="3" t="str">
        <f>IF(A619="","",(-PMT(Refinance_Calculator!$C$13/12,Refinance_Calculator!$C$16,Full_Report!$B$86,0,0)))</f>
        <v/>
      </c>
      <c r="D619" s="3" t="str">
        <f t="shared" si="46"/>
        <v/>
      </c>
      <c r="E619" s="3" t="str">
        <f>IF(A619="","",(-PPMT(Refinance_Calculator!$C$13/12,Full_Report!A619,Refinance_Calculator!$C$16,Full_Report!$B$86,0,0)))</f>
        <v/>
      </c>
      <c r="F619" s="3" t="str">
        <f t="shared" si="47"/>
        <v/>
      </c>
      <c r="G619" s="5" t="str">
        <f t="shared" si="43"/>
        <v/>
      </c>
      <c r="H619" s="5" t="str">
        <f t="shared" si="44"/>
        <v/>
      </c>
    </row>
    <row r="620" spans="1:8" x14ac:dyDescent="0.25">
      <c r="A620" s="1" t="str">
        <f>IF(OR(A619="",F619=0,A619=Refinance_Calculator!$C$16),"",A619+1)</f>
        <v/>
      </c>
      <c r="B620" s="3" t="str">
        <f t="shared" si="45"/>
        <v/>
      </c>
      <c r="C620" s="3" t="str">
        <f>IF(A620="","",(-PMT(Refinance_Calculator!$C$13/12,Refinance_Calculator!$C$16,Full_Report!$B$86,0,0)))</f>
        <v/>
      </c>
      <c r="D620" s="3" t="str">
        <f t="shared" si="46"/>
        <v/>
      </c>
      <c r="E620" s="3" t="str">
        <f>IF(A620="","",(-PPMT(Refinance_Calculator!$C$13/12,Full_Report!A620,Refinance_Calculator!$C$16,Full_Report!$B$86,0,0)))</f>
        <v/>
      </c>
      <c r="F620" s="3" t="str">
        <f t="shared" si="47"/>
        <v/>
      </c>
      <c r="G620" s="5" t="str">
        <f t="shared" si="43"/>
        <v/>
      </c>
      <c r="H620" s="5" t="str">
        <f t="shared" si="44"/>
        <v/>
      </c>
    </row>
    <row r="621" spans="1:8" x14ac:dyDescent="0.25">
      <c r="A621" s="1" t="str">
        <f>IF(OR(A620="",F620=0,A620=Refinance_Calculator!$C$16),"",A620+1)</f>
        <v/>
      </c>
      <c r="B621" s="3" t="str">
        <f t="shared" si="45"/>
        <v/>
      </c>
      <c r="C621" s="3" t="str">
        <f>IF(A621="","",(-PMT(Refinance_Calculator!$C$13/12,Refinance_Calculator!$C$16,Full_Report!$B$86,0,0)))</f>
        <v/>
      </c>
      <c r="D621" s="3" t="str">
        <f t="shared" si="46"/>
        <v/>
      </c>
      <c r="E621" s="3" t="str">
        <f>IF(A621="","",(-PPMT(Refinance_Calculator!$C$13/12,Full_Report!A621,Refinance_Calculator!$C$16,Full_Report!$B$86,0,0)))</f>
        <v/>
      </c>
      <c r="F621" s="3" t="str">
        <f t="shared" si="47"/>
        <v/>
      </c>
      <c r="G621" s="5" t="str">
        <f t="shared" si="43"/>
        <v/>
      </c>
      <c r="H621" s="5" t="str">
        <f t="shared" si="44"/>
        <v/>
      </c>
    </row>
    <row r="622" spans="1:8" x14ac:dyDescent="0.25">
      <c r="A622" s="1" t="str">
        <f>IF(OR(A621="",F621=0,A621=Refinance_Calculator!$C$16),"",A621+1)</f>
        <v/>
      </c>
      <c r="B622" s="3" t="str">
        <f t="shared" si="45"/>
        <v/>
      </c>
      <c r="C622" s="3" t="str">
        <f>IF(A622="","",(-PMT(Refinance_Calculator!$C$13/12,Refinance_Calculator!$C$16,Full_Report!$B$86,0,0)))</f>
        <v/>
      </c>
      <c r="D622" s="3" t="str">
        <f t="shared" si="46"/>
        <v/>
      </c>
      <c r="E622" s="3" t="str">
        <f>IF(A622="","",(-PPMT(Refinance_Calculator!$C$13/12,Full_Report!A622,Refinance_Calculator!$C$16,Full_Report!$B$86,0,0)))</f>
        <v/>
      </c>
      <c r="F622" s="3" t="str">
        <f t="shared" si="47"/>
        <v/>
      </c>
      <c r="G622" s="5" t="str">
        <f t="shared" si="43"/>
        <v/>
      </c>
      <c r="H622" s="5" t="str">
        <f t="shared" si="44"/>
        <v/>
      </c>
    </row>
    <row r="623" spans="1:8" x14ac:dyDescent="0.25">
      <c r="A623" s="1" t="str">
        <f>IF(OR(A622="",F622=0,A622=Refinance_Calculator!$C$16),"",A622+1)</f>
        <v/>
      </c>
      <c r="B623" s="3" t="str">
        <f t="shared" si="45"/>
        <v/>
      </c>
      <c r="C623" s="3" t="str">
        <f>IF(A623="","",(-PMT(Refinance_Calculator!$C$13/12,Refinance_Calculator!$C$16,Full_Report!$B$86,0,0)))</f>
        <v/>
      </c>
      <c r="D623" s="3" t="str">
        <f t="shared" si="46"/>
        <v/>
      </c>
      <c r="E623" s="3" t="str">
        <f>IF(A623="","",(-PPMT(Refinance_Calculator!$C$13/12,Full_Report!A623,Refinance_Calculator!$C$16,Full_Report!$B$86,0,0)))</f>
        <v/>
      </c>
      <c r="F623" s="3" t="str">
        <f t="shared" si="47"/>
        <v/>
      </c>
      <c r="G623" s="5" t="str">
        <f t="shared" si="43"/>
        <v/>
      </c>
      <c r="H623" s="5" t="str">
        <f t="shared" si="44"/>
        <v/>
      </c>
    </row>
    <row r="624" spans="1:8" x14ac:dyDescent="0.25">
      <c r="A624" s="1" t="str">
        <f>IF(OR(A623="",F623=0,A623=Refinance_Calculator!$C$16),"",A623+1)</f>
        <v/>
      </c>
      <c r="B624" s="3" t="str">
        <f t="shared" si="45"/>
        <v/>
      </c>
      <c r="C624" s="3" t="str">
        <f>IF(A624="","",(-PMT(Refinance_Calculator!$C$13/12,Refinance_Calculator!$C$16,Full_Report!$B$86,0,0)))</f>
        <v/>
      </c>
      <c r="D624" s="3" t="str">
        <f t="shared" si="46"/>
        <v/>
      </c>
      <c r="E624" s="3" t="str">
        <f>IF(A624="","",(-PPMT(Refinance_Calculator!$C$13/12,Full_Report!A624,Refinance_Calculator!$C$16,Full_Report!$B$86,0,0)))</f>
        <v/>
      </c>
      <c r="F624" s="3" t="str">
        <f t="shared" si="47"/>
        <v/>
      </c>
      <c r="G624" s="5" t="str">
        <f t="shared" si="43"/>
        <v/>
      </c>
      <c r="H624" s="5" t="str">
        <f t="shared" si="44"/>
        <v/>
      </c>
    </row>
    <row r="625" spans="1:8" x14ac:dyDescent="0.25">
      <c r="A625" s="1" t="str">
        <f>IF(OR(A624="",F624=0,A624=Refinance_Calculator!$C$16),"",A624+1)</f>
        <v/>
      </c>
      <c r="B625" s="3" t="str">
        <f t="shared" si="45"/>
        <v/>
      </c>
      <c r="C625" s="3" t="str">
        <f>IF(A625="","",(-PMT(Refinance_Calculator!$C$13/12,Refinance_Calculator!$C$16,Full_Report!$B$86,0,0)))</f>
        <v/>
      </c>
      <c r="D625" s="3" t="str">
        <f t="shared" si="46"/>
        <v/>
      </c>
      <c r="E625" s="3" t="str">
        <f>IF(A625="","",(-PPMT(Refinance_Calculator!$C$13/12,Full_Report!A625,Refinance_Calculator!$C$16,Full_Report!$B$86,0,0)))</f>
        <v/>
      </c>
      <c r="F625" s="3" t="str">
        <f t="shared" si="47"/>
        <v/>
      </c>
      <c r="G625" s="5" t="str">
        <f t="shared" si="43"/>
        <v/>
      </c>
      <c r="H625" s="5" t="str">
        <f t="shared" si="44"/>
        <v/>
      </c>
    </row>
    <row r="626" spans="1:8" x14ac:dyDescent="0.25">
      <c r="A626" s="1" t="str">
        <f>IF(OR(A625="",F625=0,A625=Refinance_Calculator!$C$16),"",A625+1)</f>
        <v/>
      </c>
      <c r="B626" s="3" t="str">
        <f t="shared" si="45"/>
        <v/>
      </c>
      <c r="C626" s="3" t="str">
        <f>IF(A626="","",(-PMT(Refinance_Calculator!$C$13/12,Refinance_Calculator!$C$16,Full_Report!$B$86,0,0)))</f>
        <v/>
      </c>
      <c r="D626" s="3" t="str">
        <f t="shared" si="46"/>
        <v/>
      </c>
      <c r="E626" s="3" t="str">
        <f>IF(A626="","",(-PPMT(Refinance_Calculator!$C$13/12,Full_Report!A626,Refinance_Calculator!$C$16,Full_Report!$B$86,0,0)))</f>
        <v/>
      </c>
      <c r="F626" s="3" t="str">
        <f t="shared" si="47"/>
        <v/>
      </c>
      <c r="G626" s="5" t="str">
        <f t="shared" si="43"/>
        <v/>
      </c>
      <c r="H626" s="5" t="str">
        <f t="shared" si="44"/>
        <v/>
      </c>
    </row>
    <row r="627" spans="1:8" x14ac:dyDescent="0.25">
      <c r="A627" s="1" t="str">
        <f>IF(OR(A626="",F626=0,A626=Refinance_Calculator!$C$16),"",A626+1)</f>
        <v/>
      </c>
      <c r="B627" s="3" t="str">
        <f t="shared" si="45"/>
        <v/>
      </c>
      <c r="C627" s="3" t="str">
        <f>IF(A627="","",(-PMT(Refinance_Calculator!$C$13/12,Refinance_Calculator!$C$16,Full_Report!$B$86,0,0)))</f>
        <v/>
      </c>
      <c r="D627" s="3" t="str">
        <f t="shared" si="46"/>
        <v/>
      </c>
      <c r="E627" s="3" t="str">
        <f>IF(A627="","",(-PPMT(Refinance_Calculator!$C$13/12,Full_Report!A627,Refinance_Calculator!$C$16,Full_Report!$B$86,0,0)))</f>
        <v/>
      </c>
      <c r="F627" s="3" t="str">
        <f t="shared" si="47"/>
        <v/>
      </c>
      <c r="G627" s="5" t="str">
        <f t="shared" si="43"/>
        <v/>
      </c>
      <c r="H627" s="5" t="str">
        <f t="shared" si="44"/>
        <v/>
      </c>
    </row>
    <row r="628" spans="1:8" x14ac:dyDescent="0.25">
      <c r="A628" s="1" t="str">
        <f>IF(OR(A627="",F627=0,A627=Refinance_Calculator!$C$16),"",A627+1)</f>
        <v/>
      </c>
      <c r="B628" s="3" t="str">
        <f t="shared" si="45"/>
        <v/>
      </c>
      <c r="C628" s="3" t="str">
        <f>IF(A628="","",(-PMT(Refinance_Calculator!$C$13/12,Refinance_Calculator!$C$16,Full_Report!$B$86,0,0)))</f>
        <v/>
      </c>
      <c r="D628" s="3" t="str">
        <f t="shared" si="46"/>
        <v/>
      </c>
      <c r="E628" s="3" t="str">
        <f>IF(A628="","",(-PPMT(Refinance_Calculator!$C$13/12,Full_Report!A628,Refinance_Calculator!$C$16,Full_Report!$B$86,0,0)))</f>
        <v/>
      </c>
      <c r="F628" s="3" t="str">
        <f t="shared" si="47"/>
        <v/>
      </c>
      <c r="G628" s="5" t="str">
        <f t="shared" si="43"/>
        <v/>
      </c>
      <c r="H628" s="5" t="str">
        <f t="shared" si="44"/>
        <v/>
      </c>
    </row>
    <row r="629" spans="1:8" x14ac:dyDescent="0.25">
      <c r="A629" s="1" t="str">
        <f>IF(OR(A628="",F628=0,A628=Refinance_Calculator!$C$16),"",A628+1)</f>
        <v/>
      </c>
      <c r="B629" s="3" t="str">
        <f t="shared" si="45"/>
        <v/>
      </c>
      <c r="C629" s="3" t="str">
        <f>IF(A629="","",(-PMT(Refinance_Calculator!$C$13/12,Refinance_Calculator!$C$16,Full_Report!$B$86,0,0)))</f>
        <v/>
      </c>
      <c r="D629" s="3" t="str">
        <f t="shared" si="46"/>
        <v/>
      </c>
      <c r="E629" s="3" t="str">
        <f>IF(A629="","",(-PPMT(Refinance_Calculator!$C$13/12,Full_Report!A629,Refinance_Calculator!$C$16,Full_Report!$B$86,0,0)))</f>
        <v/>
      </c>
      <c r="F629" s="3" t="str">
        <f t="shared" si="47"/>
        <v/>
      </c>
      <c r="G629" s="5" t="str">
        <f t="shared" si="43"/>
        <v/>
      </c>
      <c r="H629" s="5" t="str">
        <f t="shared" si="44"/>
        <v/>
      </c>
    </row>
    <row r="630" spans="1:8" x14ac:dyDescent="0.25">
      <c r="A630" s="1" t="str">
        <f>IF(OR(A629="",F629=0,A629=Refinance_Calculator!$C$16),"",A629+1)</f>
        <v/>
      </c>
      <c r="B630" s="3" t="str">
        <f t="shared" si="45"/>
        <v/>
      </c>
      <c r="C630" s="3" t="str">
        <f>IF(A630="","",(-PMT(Refinance_Calculator!$C$13/12,Refinance_Calculator!$C$16,Full_Report!$B$86,0,0)))</f>
        <v/>
      </c>
      <c r="D630" s="3" t="str">
        <f t="shared" si="46"/>
        <v/>
      </c>
      <c r="E630" s="3" t="str">
        <f>IF(A630="","",(-PPMT(Refinance_Calculator!$C$13/12,Full_Report!A630,Refinance_Calculator!$C$16,Full_Report!$B$86,0,0)))</f>
        <v/>
      </c>
      <c r="F630" s="3" t="str">
        <f t="shared" si="47"/>
        <v/>
      </c>
      <c r="G630" s="5" t="str">
        <f t="shared" si="43"/>
        <v/>
      </c>
      <c r="H630" s="5" t="str">
        <f t="shared" si="44"/>
        <v/>
      </c>
    </row>
    <row r="631" spans="1:8" x14ac:dyDescent="0.25">
      <c r="A631" s="1" t="str">
        <f>IF(OR(A630="",F630=0,A630=Refinance_Calculator!$C$16),"",A630+1)</f>
        <v/>
      </c>
      <c r="B631" s="3" t="str">
        <f t="shared" si="45"/>
        <v/>
      </c>
      <c r="C631" s="3" t="str">
        <f>IF(A631="","",(-PMT(Refinance_Calculator!$C$13/12,Refinance_Calculator!$C$16,Full_Report!$B$86,0,0)))</f>
        <v/>
      </c>
      <c r="D631" s="3" t="str">
        <f t="shared" si="46"/>
        <v/>
      </c>
      <c r="E631" s="3" t="str">
        <f>IF(A631="","",(-PPMT(Refinance_Calculator!$C$13/12,Full_Report!A631,Refinance_Calculator!$C$16,Full_Report!$B$86,0,0)))</f>
        <v/>
      </c>
      <c r="F631" s="3" t="str">
        <f t="shared" si="47"/>
        <v/>
      </c>
      <c r="G631" s="5" t="str">
        <f t="shared" si="43"/>
        <v/>
      </c>
      <c r="H631" s="5" t="str">
        <f t="shared" si="44"/>
        <v/>
      </c>
    </row>
    <row r="632" spans="1:8" x14ac:dyDescent="0.25">
      <c r="A632" s="1" t="str">
        <f>IF(OR(A631="",F631=0,A631=Refinance_Calculator!$C$16),"",A631+1)</f>
        <v/>
      </c>
      <c r="B632" s="3" t="str">
        <f t="shared" si="45"/>
        <v/>
      </c>
      <c r="C632" s="3" t="str">
        <f>IF(A632="","",(-PMT(Refinance_Calculator!$C$13/12,Refinance_Calculator!$C$16,Full_Report!$B$86,0,0)))</f>
        <v/>
      </c>
      <c r="D632" s="3" t="str">
        <f t="shared" si="46"/>
        <v/>
      </c>
      <c r="E632" s="3" t="str">
        <f>IF(A632="","",(-PPMT(Refinance_Calculator!$C$13/12,Full_Report!A632,Refinance_Calculator!$C$16,Full_Report!$B$86,0,0)))</f>
        <v/>
      </c>
      <c r="F632" s="3" t="str">
        <f t="shared" si="47"/>
        <v/>
      </c>
      <c r="G632" s="5" t="str">
        <f t="shared" si="43"/>
        <v/>
      </c>
      <c r="H632" s="5" t="str">
        <f t="shared" si="44"/>
        <v/>
      </c>
    </row>
    <row r="633" spans="1:8" x14ac:dyDescent="0.25">
      <c r="A633" s="1" t="str">
        <f>IF(OR(A632="",F632=0,A632=Refinance_Calculator!$C$16),"",A632+1)</f>
        <v/>
      </c>
      <c r="B633" s="3" t="str">
        <f t="shared" si="45"/>
        <v/>
      </c>
      <c r="C633" s="3" t="str">
        <f>IF(A633="","",(-PMT(Refinance_Calculator!$C$13/12,Refinance_Calculator!$C$16,Full_Report!$B$86,0,0)))</f>
        <v/>
      </c>
      <c r="D633" s="3" t="str">
        <f t="shared" si="46"/>
        <v/>
      </c>
      <c r="E633" s="3" t="str">
        <f>IF(A633="","",(-PPMT(Refinance_Calculator!$C$13/12,Full_Report!A633,Refinance_Calculator!$C$16,Full_Report!$B$86,0,0)))</f>
        <v/>
      </c>
      <c r="F633" s="3" t="str">
        <f t="shared" si="47"/>
        <v/>
      </c>
      <c r="G633" s="5" t="str">
        <f t="shared" si="43"/>
        <v/>
      </c>
      <c r="H633" s="5" t="str">
        <f t="shared" si="44"/>
        <v/>
      </c>
    </row>
    <row r="634" spans="1:8" x14ac:dyDescent="0.25">
      <c r="A634" s="1" t="str">
        <f>IF(OR(A633="",F633=0,A633=Refinance_Calculator!$C$16),"",A633+1)</f>
        <v/>
      </c>
      <c r="B634" s="3" t="str">
        <f t="shared" si="45"/>
        <v/>
      </c>
      <c r="C634" s="3" t="str">
        <f>IF(A634="","",(-PMT(Refinance_Calculator!$C$13/12,Refinance_Calculator!$C$16,Full_Report!$B$86,0,0)))</f>
        <v/>
      </c>
      <c r="D634" s="3" t="str">
        <f t="shared" si="46"/>
        <v/>
      </c>
      <c r="E634" s="3" t="str">
        <f>IF(A634="","",(-PPMT(Refinance_Calculator!$C$13/12,Full_Report!A634,Refinance_Calculator!$C$16,Full_Report!$B$86,0,0)))</f>
        <v/>
      </c>
      <c r="F634" s="3" t="str">
        <f t="shared" si="47"/>
        <v/>
      </c>
      <c r="G634" s="5" t="str">
        <f t="shared" si="43"/>
        <v/>
      </c>
      <c r="H634" s="5" t="str">
        <f t="shared" si="44"/>
        <v/>
      </c>
    </row>
    <row r="635" spans="1:8" x14ac:dyDescent="0.25">
      <c r="A635" s="1" t="str">
        <f>IF(OR(A634="",F634=0,A634=Refinance_Calculator!$C$16),"",A634+1)</f>
        <v/>
      </c>
      <c r="B635" s="3" t="str">
        <f t="shared" si="45"/>
        <v/>
      </c>
      <c r="C635" s="3" t="str">
        <f>IF(A635="","",(-PMT(Refinance_Calculator!$C$13/12,Refinance_Calculator!$C$16,Full_Report!$B$86,0,0)))</f>
        <v/>
      </c>
      <c r="D635" s="3" t="str">
        <f t="shared" si="46"/>
        <v/>
      </c>
      <c r="E635" s="3" t="str">
        <f>IF(A635="","",(-PPMT(Refinance_Calculator!$C$13/12,Full_Report!A635,Refinance_Calculator!$C$16,Full_Report!$B$86,0,0)))</f>
        <v/>
      </c>
      <c r="F635" s="3" t="str">
        <f t="shared" si="47"/>
        <v/>
      </c>
      <c r="G635" s="5" t="str">
        <f t="shared" si="43"/>
        <v/>
      </c>
      <c r="H635" s="5" t="str">
        <f t="shared" si="44"/>
        <v/>
      </c>
    </row>
    <row r="636" spans="1:8" x14ac:dyDescent="0.25">
      <c r="A636" s="1" t="str">
        <f>IF(OR(A635="",F635=0,A635=Refinance_Calculator!$C$16),"",A635+1)</f>
        <v/>
      </c>
      <c r="B636" s="3" t="str">
        <f t="shared" si="45"/>
        <v/>
      </c>
      <c r="C636" s="3" t="str">
        <f>IF(A636="","",(-PMT(Refinance_Calculator!$C$13/12,Refinance_Calculator!$C$16,Full_Report!$B$86,0,0)))</f>
        <v/>
      </c>
      <c r="D636" s="3" t="str">
        <f t="shared" si="46"/>
        <v/>
      </c>
      <c r="E636" s="3" t="str">
        <f>IF(A636="","",(-PPMT(Refinance_Calculator!$C$13/12,Full_Report!A636,Refinance_Calculator!$C$16,Full_Report!$B$86,0,0)))</f>
        <v/>
      </c>
      <c r="F636" s="3" t="str">
        <f t="shared" si="47"/>
        <v/>
      </c>
      <c r="G636" s="5" t="str">
        <f t="shared" si="43"/>
        <v/>
      </c>
      <c r="H636" s="5" t="str">
        <f t="shared" si="44"/>
        <v/>
      </c>
    </row>
    <row r="637" spans="1:8" x14ac:dyDescent="0.25">
      <c r="A637" s="1" t="str">
        <f>IF(OR(A636="",F636=0,A636=Refinance_Calculator!$C$16),"",A636+1)</f>
        <v/>
      </c>
      <c r="B637" s="3" t="str">
        <f t="shared" si="45"/>
        <v/>
      </c>
      <c r="C637" s="3" t="str">
        <f>IF(A637="","",(-PMT(Refinance_Calculator!$C$13/12,Refinance_Calculator!$C$16,Full_Report!$B$86,0,0)))</f>
        <v/>
      </c>
      <c r="D637" s="3" t="str">
        <f t="shared" si="46"/>
        <v/>
      </c>
      <c r="E637" s="3" t="str">
        <f>IF(A637="","",(-PPMT(Refinance_Calculator!$C$13/12,Full_Report!A637,Refinance_Calculator!$C$16,Full_Report!$B$86,0,0)))</f>
        <v/>
      </c>
      <c r="F637" s="3" t="str">
        <f t="shared" si="47"/>
        <v/>
      </c>
      <c r="G637" s="5" t="str">
        <f t="shared" si="43"/>
        <v/>
      </c>
      <c r="H637" s="5" t="str">
        <f t="shared" si="44"/>
        <v/>
      </c>
    </row>
    <row r="638" spans="1:8" x14ac:dyDescent="0.25">
      <c r="A638" s="1" t="str">
        <f>IF(OR(A637="",F637=0,A637=Refinance_Calculator!$C$16),"",A637+1)</f>
        <v/>
      </c>
      <c r="B638" s="3" t="str">
        <f t="shared" si="45"/>
        <v/>
      </c>
      <c r="C638" s="3" t="str">
        <f>IF(A638="","",(-PMT(Refinance_Calculator!$C$13/12,Refinance_Calculator!$C$16,Full_Report!$B$86,0,0)))</f>
        <v/>
      </c>
      <c r="D638" s="3" t="str">
        <f t="shared" si="46"/>
        <v/>
      </c>
      <c r="E638" s="3" t="str">
        <f>IF(A638="","",(-PPMT(Refinance_Calculator!$C$13/12,Full_Report!A638,Refinance_Calculator!$C$16,Full_Report!$B$86,0,0)))</f>
        <v/>
      </c>
      <c r="F638" s="3" t="str">
        <f t="shared" si="47"/>
        <v/>
      </c>
      <c r="G638" s="5" t="str">
        <f t="shared" si="43"/>
        <v/>
      </c>
      <c r="H638" s="5" t="str">
        <f t="shared" si="44"/>
        <v/>
      </c>
    </row>
    <row r="639" spans="1:8" x14ac:dyDescent="0.25">
      <c r="A639" s="1" t="str">
        <f>IF(OR(A638="",F638=0,A638=Refinance_Calculator!$C$16),"",A638+1)</f>
        <v/>
      </c>
      <c r="B639" s="3" t="str">
        <f t="shared" si="45"/>
        <v/>
      </c>
      <c r="C639" s="3" t="str">
        <f>IF(A639="","",(-PMT(Refinance_Calculator!$C$13/12,Refinance_Calculator!$C$16,Full_Report!$B$86,0,0)))</f>
        <v/>
      </c>
      <c r="D639" s="3" t="str">
        <f t="shared" si="46"/>
        <v/>
      </c>
      <c r="E639" s="3" t="str">
        <f>IF(A639="","",(-PPMT(Refinance_Calculator!$C$13/12,Full_Report!A639,Refinance_Calculator!$C$16,Full_Report!$B$86,0,0)))</f>
        <v/>
      </c>
      <c r="F639" s="3" t="str">
        <f t="shared" si="47"/>
        <v/>
      </c>
      <c r="G639" s="5" t="str">
        <f t="shared" si="43"/>
        <v/>
      </c>
      <c r="H639" s="5" t="str">
        <f t="shared" si="44"/>
        <v/>
      </c>
    </row>
    <row r="640" spans="1:8" x14ac:dyDescent="0.25">
      <c r="A640" s="1" t="str">
        <f>IF(OR(A639="",F639=0,A639=Refinance_Calculator!$C$16),"",A639+1)</f>
        <v/>
      </c>
      <c r="B640" s="3" t="str">
        <f t="shared" si="45"/>
        <v/>
      </c>
      <c r="C640" s="3" t="str">
        <f>IF(A640="","",(-PMT(Refinance_Calculator!$C$13/12,Refinance_Calculator!$C$16,Full_Report!$B$86,0,0)))</f>
        <v/>
      </c>
      <c r="D640" s="3" t="str">
        <f t="shared" si="46"/>
        <v/>
      </c>
      <c r="E640" s="3" t="str">
        <f>IF(A640="","",(-PPMT(Refinance_Calculator!$C$13/12,Full_Report!A640,Refinance_Calculator!$C$16,Full_Report!$B$86,0,0)))</f>
        <v/>
      </c>
      <c r="F640" s="3" t="str">
        <f t="shared" si="47"/>
        <v/>
      </c>
      <c r="G640" s="5" t="str">
        <f t="shared" si="43"/>
        <v/>
      </c>
      <c r="H640" s="5" t="str">
        <f t="shared" si="44"/>
        <v/>
      </c>
    </row>
    <row r="641" spans="1:8" x14ac:dyDescent="0.25">
      <c r="A641" s="1" t="str">
        <f>IF(OR(A640="",F640=0,A640=Refinance_Calculator!$C$16),"",A640+1)</f>
        <v/>
      </c>
      <c r="B641" s="3" t="str">
        <f t="shared" si="45"/>
        <v/>
      </c>
      <c r="C641" s="3" t="str">
        <f>IF(A641="","",(-PMT(Refinance_Calculator!$C$13/12,Refinance_Calculator!$C$16,Full_Report!$B$86,0,0)))</f>
        <v/>
      </c>
      <c r="D641" s="3" t="str">
        <f t="shared" si="46"/>
        <v/>
      </c>
      <c r="E641" s="3" t="str">
        <f>IF(A641="","",(-PPMT(Refinance_Calculator!$C$13/12,Full_Report!A641,Refinance_Calculator!$C$16,Full_Report!$B$86,0,0)))</f>
        <v/>
      </c>
      <c r="F641" s="3" t="str">
        <f t="shared" si="47"/>
        <v/>
      </c>
      <c r="G641" s="5" t="str">
        <f t="shared" si="43"/>
        <v/>
      </c>
      <c r="H641" s="5" t="str">
        <f t="shared" si="44"/>
        <v/>
      </c>
    </row>
    <row r="642" spans="1:8" x14ac:dyDescent="0.25">
      <c r="A642" s="1" t="str">
        <f>IF(OR(A641="",F641=0,A641=Refinance_Calculator!$C$16),"",A641+1)</f>
        <v/>
      </c>
      <c r="B642" s="3" t="str">
        <f t="shared" si="45"/>
        <v/>
      </c>
      <c r="C642" s="3" t="str">
        <f>IF(A642="","",(-PMT(Refinance_Calculator!$C$13/12,Refinance_Calculator!$C$16,Full_Report!$B$86,0,0)))</f>
        <v/>
      </c>
      <c r="D642" s="3" t="str">
        <f t="shared" si="46"/>
        <v/>
      </c>
      <c r="E642" s="3" t="str">
        <f>IF(A642="","",(-PPMT(Refinance_Calculator!$C$13/12,Full_Report!A642,Refinance_Calculator!$C$16,Full_Report!$B$86,0,0)))</f>
        <v/>
      </c>
      <c r="F642" s="3" t="str">
        <f t="shared" si="47"/>
        <v/>
      </c>
      <c r="G642" s="5" t="str">
        <f t="shared" si="43"/>
        <v/>
      </c>
      <c r="H642" s="5" t="str">
        <f t="shared" si="44"/>
        <v/>
      </c>
    </row>
    <row r="643" spans="1:8" x14ac:dyDescent="0.25">
      <c r="A643" s="1" t="str">
        <f>IF(OR(A642="",F642=0,A642=Refinance_Calculator!$C$16),"",A642+1)</f>
        <v/>
      </c>
      <c r="B643" s="3" t="str">
        <f t="shared" si="45"/>
        <v/>
      </c>
      <c r="C643" s="3" t="str">
        <f>IF(A643="","",(-PMT(Refinance_Calculator!$C$13/12,Refinance_Calculator!$C$16,Full_Report!$B$86,0,0)))</f>
        <v/>
      </c>
      <c r="D643" s="3" t="str">
        <f t="shared" si="46"/>
        <v/>
      </c>
      <c r="E643" s="3" t="str">
        <f>IF(A643="","",(-PPMT(Refinance_Calculator!$C$13/12,Full_Report!A643,Refinance_Calculator!$C$16,Full_Report!$B$86,0,0)))</f>
        <v/>
      </c>
      <c r="F643" s="3" t="str">
        <f t="shared" si="47"/>
        <v/>
      </c>
      <c r="G643" s="5" t="str">
        <f t="shared" si="43"/>
        <v/>
      </c>
      <c r="H643" s="5" t="str">
        <f t="shared" si="44"/>
        <v/>
      </c>
    </row>
    <row r="644" spans="1:8" x14ac:dyDescent="0.25">
      <c r="A644" s="1" t="str">
        <f>IF(OR(A643="",F643=0,A643=Refinance_Calculator!$C$16),"",A643+1)</f>
        <v/>
      </c>
      <c r="B644" s="3" t="str">
        <f t="shared" si="45"/>
        <v/>
      </c>
      <c r="C644" s="3" t="str">
        <f>IF(A644="","",(-PMT(Refinance_Calculator!$C$13/12,Refinance_Calculator!$C$16,Full_Report!$B$86,0,0)))</f>
        <v/>
      </c>
      <c r="D644" s="3" t="str">
        <f t="shared" si="46"/>
        <v/>
      </c>
      <c r="E644" s="3" t="str">
        <f>IF(A644="","",(-PPMT(Refinance_Calculator!$C$13/12,Full_Report!A644,Refinance_Calculator!$C$16,Full_Report!$B$86,0,0)))</f>
        <v/>
      </c>
      <c r="F644" s="3" t="str">
        <f t="shared" si="47"/>
        <v/>
      </c>
      <c r="G644" s="5" t="str">
        <f t="shared" si="43"/>
        <v/>
      </c>
      <c r="H644" s="5" t="str">
        <f t="shared" si="44"/>
        <v/>
      </c>
    </row>
    <row r="645" spans="1:8" x14ac:dyDescent="0.25">
      <c r="A645" s="1" t="str">
        <f>IF(OR(A644="",F644=0,A644=Refinance_Calculator!$C$16),"",A644+1)</f>
        <v/>
      </c>
      <c r="B645" s="3" t="str">
        <f t="shared" si="45"/>
        <v/>
      </c>
      <c r="C645" s="3" t="str">
        <f>IF(A645="","",(-PMT(Refinance_Calculator!$C$13/12,Refinance_Calculator!$C$16,Full_Report!$B$86,0,0)))</f>
        <v/>
      </c>
      <c r="D645" s="3" t="str">
        <f t="shared" si="46"/>
        <v/>
      </c>
      <c r="E645" s="3" t="str">
        <f>IF(A645="","",(-PPMT(Refinance_Calculator!$C$13/12,Full_Report!A645,Refinance_Calculator!$C$16,Full_Report!$B$86,0,0)))</f>
        <v/>
      </c>
      <c r="F645" s="3" t="str">
        <f t="shared" si="47"/>
        <v/>
      </c>
      <c r="G645" s="5" t="str">
        <f t="shared" si="43"/>
        <v/>
      </c>
      <c r="H645" s="5" t="str">
        <f t="shared" si="44"/>
        <v/>
      </c>
    </row>
    <row r="646" spans="1:8" x14ac:dyDescent="0.25">
      <c r="A646" s="1" t="str">
        <f>IF(OR(A645="",F645=0,A645=Refinance_Calculator!$C$16),"",A645+1)</f>
        <v/>
      </c>
      <c r="B646" s="3" t="str">
        <f t="shared" si="45"/>
        <v/>
      </c>
      <c r="C646" s="3" t="str">
        <f>IF(A646="","",(-PMT(Refinance_Calculator!$C$13/12,Refinance_Calculator!$C$16,Full_Report!$B$86,0,0)))</f>
        <v/>
      </c>
      <c r="D646" s="3" t="str">
        <f t="shared" si="46"/>
        <v/>
      </c>
      <c r="E646" s="3" t="str">
        <f>IF(A646="","",(-PPMT(Refinance_Calculator!$C$13/12,Full_Report!A646,Refinance_Calculator!$C$16,Full_Report!$B$86,0,0)))</f>
        <v/>
      </c>
      <c r="F646" s="3" t="str">
        <f t="shared" si="47"/>
        <v/>
      </c>
      <c r="G646" s="5" t="str">
        <f t="shared" si="43"/>
        <v/>
      </c>
      <c r="H646" s="5" t="str">
        <f t="shared" si="44"/>
        <v/>
      </c>
    </row>
    <row r="647" spans="1:8" x14ac:dyDescent="0.25">
      <c r="A647" s="1" t="str">
        <f>IF(OR(A646="",F646=0,A646=Refinance_Calculator!$C$16),"",A646+1)</f>
        <v/>
      </c>
      <c r="B647" s="3" t="str">
        <f t="shared" si="45"/>
        <v/>
      </c>
      <c r="C647" s="3" t="str">
        <f>IF(A647="","",(-PMT(Refinance_Calculator!$C$13/12,Refinance_Calculator!$C$16,Full_Report!$B$86,0,0)))</f>
        <v/>
      </c>
      <c r="D647" s="3" t="str">
        <f t="shared" si="46"/>
        <v/>
      </c>
      <c r="E647" s="3" t="str">
        <f>IF(A647="","",(-PPMT(Refinance_Calculator!$C$13/12,Full_Report!A647,Refinance_Calculator!$C$16,Full_Report!$B$86,0,0)))</f>
        <v/>
      </c>
      <c r="F647" s="3" t="str">
        <f t="shared" si="47"/>
        <v/>
      </c>
      <c r="G647" s="5" t="str">
        <f t="shared" si="43"/>
        <v/>
      </c>
      <c r="H647" s="5" t="str">
        <f t="shared" si="44"/>
        <v/>
      </c>
    </row>
    <row r="648" spans="1:8" x14ac:dyDescent="0.25">
      <c r="A648" s="1" t="str">
        <f>IF(OR(A647="",F647=0,A647=Refinance_Calculator!$C$16),"",A647+1)</f>
        <v/>
      </c>
      <c r="B648" s="3" t="str">
        <f t="shared" si="45"/>
        <v/>
      </c>
      <c r="C648" s="3" t="str">
        <f>IF(A648="","",(-PMT(Refinance_Calculator!$C$13/12,Refinance_Calculator!$C$16,Full_Report!$B$86,0,0)))</f>
        <v/>
      </c>
      <c r="D648" s="3" t="str">
        <f t="shared" si="46"/>
        <v/>
      </c>
      <c r="E648" s="3" t="str">
        <f>IF(A648="","",(-PPMT(Refinance_Calculator!$C$13/12,Full_Report!A648,Refinance_Calculator!$C$16,Full_Report!$B$86,0,0)))</f>
        <v/>
      </c>
      <c r="F648" s="3" t="str">
        <f t="shared" si="47"/>
        <v/>
      </c>
      <c r="G648" s="5" t="str">
        <f t="shared" si="43"/>
        <v/>
      </c>
      <c r="H648" s="5" t="str">
        <f t="shared" si="44"/>
        <v/>
      </c>
    </row>
    <row r="649" spans="1:8" x14ac:dyDescent="0.25">
      <c r="A649" s="1" t="str">
        <f>IF(OR(A648="",F648=0,A648=Refinance_Calculator!$C$16),"",A648+1)</f>
        <v/>
      </c>
      <c r="B649" s="3" t="str">
        <f t="shared" si="45"/>
        <v/>
      </c>
      <c r="C649" s="3" t="str">
        <f>IF(A649="","",(-PMT(Refinance_Calculator!$C$13/12,Refinance_Calculator!$C$16,Full_Report!$B$86,0,0)))</f>
        <v/>
      </c>
      <c r="D649" s="3" t="str">
        <f t="shared" si="46"/>
        <v/>
      </c>
      <c r="E649" s="3" t="str">
        <f>IF(A649="","",(-PPMT(Refinance_Calculator!$C$13/12,Full_Report!A649,Refinance_Calculator!$C$16,Full_Report!$B$86,0,0)))</f>
        <v/>
      </c>
      <c r="F649" s="3" t="str">
        <f t="shared" si="47"/>
        <v/>
      </c>
      <c r="G649" s="5" t="str">
        <f t="shared" si="43"/>
        <v/>
      </c>
      <c r="H649" s="5" t="str">
        <f t="shared" si="44"/>
        <v/>
      </c>
    </row>
    <row r="650" spans="1:8" x14ac:dyDescent="0.25">
      <c r="A650" s="1" t="str">
        <f>IF(OR(A649="",F649=0,A649=Refinance_Calculator!$C$16),"",A649+1)</f>
        <v/>
      </c>
      <c r="B650" s="3" t="str">
        <f t="shared" si="45"/>
        <v/>
      </c>
      <c r="C650" s="3" t="str">
        <f>IF(A650="","",(-PMT(Refinance_Calculator!$C$13/12,Refinance_Calculator!$C$16,Full_Report!$B$86,0,0)))</f>
        <v/>
      </c>
      <c r="D650" s="3" t="str">
        <f t="shared" si="46"/>
        <v/>
      </c>
      <c r="E650" s="3" t="str">
        <f>IF(A650="","",(-PPMT(Refinance_Calculator!$C$13/12,Full_Report!A650,Refinance_Calculator!$C$16,Full_Report!$B$86,0,0)))</f>
        <v/>
      </c>
      <c r="F650" s="3" t="str">
        <f t="shared" si="47"/>
        <v/>
      </c>
      <c r="G650" s="5" t="str">
        <f t="shared" si="43"/>
        <v/>
      </c>
      <c r="H650" s="5" t="str">
        <f t="shared" si="44"/>
        <v/>
      </c>
    </row>
    <row r="651" spans="1:8" x14ac:dyDescent="0.25">
      <c r="A651" s="1" t="str">
        <f>IF(OR(A650="",F650=0,A650=Refinance_Calculator!$C$16),"",A650+1)</f>
        <v/>
      </c>
      <c r="B651" s="3" t="str">
        <f t="shared" si="45"/>
        <v/>
      </c>
      <c r="C651" s="3" t="str">
        <f>IF(A651="","",(-PMT(Refinance_Calculator!$C$13/12,Refinance_Calculator!$C$16,Full_Report!$B$86,0,0)))</f>
        <v/>
      </c>
      <c r="D651" s="3" t="str">
        <f t="shared" si="46"/>
        <v/>
      </c>
      <c r="E651" s="3" t="str">
        <f>IF(A651="","",(-PPMT(Refinance_Calculator!$C$13/12,Full_Report!A651,Refinance_Calculator!$C$16,Full_Report!$B$86,0,0)))</f>
        <v/>
      </c>
      <c r="F651" s="3" t="str">
        <f t="shared" si="47"/>
        <v/>
      </c>
      <c r="G651" s="5" t="str">
        <f t="shared" si="43"/>
        <v/>
      </c>
      <c r="H651" s="5" t="str">
        <f t="shared" si="44"/>
        <v/>
      </c>
    </row>
    <row r="652" spans="1:8" x14ac:dyDescent="0.25">
      <c r="A652" s="1" t="str">
        <f>IF(OR(A651="",F651=0,A651=Refinance_Calculator!$C$16),"",A651+1)</f>
        <v/>
      </c>
      <c r="B652" s="3" t="str">
        <f t="shared" si="45"/>
        <v/>
      </c>
      <c r="C652" s="3" t="str">
        <f>IF(A652="","",(-PMT(Refinance_Calculator!$C$13/12,Refinance_Calculator!$C$16,Full_Report!$B$86,0,0)))</f>
        <v/>
      </c>
      <c r="D652" s="3" t="str">
        <f t="shared" si="46"/>
        <v/>
      </c>
      <c r="E652" s="3" t="str">
        <f>IF(A652="","",(-PPMT(Refinance_Calculator!$C$13/12,Full_Report!A652,Refinance_Calculator!$C$16,Full_Report!$B$86,0,0)))</f>
        <v/>
      </c>
      <c r="F652" s="3" t="str">
        <f t="shared" si="47"/>
        <v/>
      </c>
      <c r="G652" s="5" t="str">
        <f t="shared" si="43"/>
        <v/>
      </c>
      <c r="H652" s="5" t="str">
        <f t="shared" si="44"/>
        <v/>
      </c>
    </row>
    <row r="653" spans="1:8" x14ac:dyDescent="0.25">
      <c r="A653" s="1" t="str">
        <f>IF(OR(A652="",F652=0,A652=Refinance_Calculator!$C$16),"",A652+1)</f>
        <v/>
      </c>
      <c r="B653" s="3" t="str">
        <f t="shared" si="45"/>
        <v/>
      </c>
      <c r="C653" s="3" t="str">
        <f>IF(A653="","",(-PMT(Refinance_Calculator!$C$13/12,Refinance_Calculator!$C$16,Full_Report!$B$86,0,0)))</f>
        <v/>
      </c>
      <c r="D653" s="3" t="str">
        <f t="shared" si="46"/>
        <v/>
      </c>
      <c r="E653" s="3" t="str">
        <f>IF(A653="","",(-PPMT(Refinance_Calculator!$C$13/12,Full_Report!A653,Refinance_Calculator!$C$16,Full_Report!$B$86,0,0)))</f>
        <v/>
      </c>
      <c r="F653" s="3" t="str">
        <f t="shared" si="47"/>
        <v/>
      </c>
      <c r="G653" s="5" t="str">
        <f t="shared" si="43"/>
        <v/>
      </c>
      <c r="H653" s="5" t="str">
        <f t="shared" si="44"/>
        <v/>
      </c>
    </row>
    <row r="654" spans="1:8" x14ac:dyDescent="0.25">
      <c r="A654" s="1" t="str">
        <f>IF(OR(A653="",F653=0,A653=Refinance_Calculator!$C$16),"",A653+1)</f>
        <v/>
      </c>
      <c r="B654" s="3" t="str">
        <f t="shared" si="45"/>
        <v/>
      </c>
      <c r="C654" s="3" t="str">
        <f>IF(A654="","",(-PMT(Refinance_Calculator!$C$13/12,Refinance_Calculator!$C$16,Full_Report!$B$86,0,0)))</f>
        <v/>
      </c>
      <c r="D654" s="3" t="str">
        <f t="shared" si="46"/>
        <v/>
      </c>
      <c r="E654" s="3" t="str">
        <f>IF(A654="","",(-PPMT(Refinance_Calculator!$C$13/12,Full_Report!A654,Refinance_Calculator!$C$16,Full_Report!$B$86,0,0)))</f>
        <v/>
      </c>
      <c r="F654" s="3" t="str">
        <f t="shared" si="47"/>
        <v/>
      </c>
      <c r="G654" s="5" t="str">
        <f t="shared" si="43"/>
        <v/>
      </c>
      <c r="H654" s="5" t="str">
        <f t="shared" si="44"/>
        <v/>
      </c>
    </row>
    <row r="655" spans="1:8" x14ac:dyDescent="0.25">
      <c r="A655" s="1" t="str">
        <f>IF(OR(A654="",F654=0,A654=Refinance_Calculator!$C$16),"",A654+1)</f>
        <v/>
      </c>
      <c r="B655" s="3" t="str">
        <f t="shared" si="45"/>
        <v/>
      </c>
      <c r="C655" s="3" t="str">
        <f>IF(A655="","",(-PMT(Refinance_Calculator!$C$13/12,Refinance_Calculator!$C$16,Full_Report!$B$86,0,0)))</f>
        <v/>
      </c>
      <c r="D655" s="3" t="str">
        <f t="shared" si="46"/>
        <v/>
      </c>
      <c r="E655" s="3" t="str">
        <f>IF(A655="","",(-PPMT(Refinance_Calculator!$C$13/12,Full_Report!A655,Refinance_Calculator!$C$16,Full_Report!$B$86,0,0)))</f>
        <v/>
      </c>
      <c r="F655" s="3" t="str">
        <f t="shared" si="47"/>
        <v/>
      </c>
      <c r="G655" s="5" t="str">
        <f t="shared" si="43"/>
        <v/>
      </c>
      <c r="H655" s="5" t="str">
        <f t="shared" si="44"/>
        <v/>
      </c>
    </row>
    <row r="656" spans="1:8" x14ac:dyDescent="0.25">
      <c r="A656" s="1" t="str">
        <f>IF(OR(A655="",F655=0,A655=Refinance_Calculator!$C$16),"",A655+1)</f>
        <v/>
      </c>
      <c r="B656" s="3" t="str">
        <f t="shared" si="45"/>
        <v/>
      </c>
      <c r="C656" s="3" t="str">
        <f>IF(A656="","",(-PMT(Refinance_Calculator!$C$13/12,Refinance_Calculator!$C$16,Full_Report!$B$86,0,0)))</f>
        <v/>
      </c>
      <c r="D656" s="3" t="str">
        <f t="shared" si="46"/>
        <v/>
      </c>
      <c r="E656" s="3" t="str">
        <f>IF(A656="","",(-PPMT(Refinance_Calculator!$C$13/12,Full_Report!A656,Refinance_Calculator!$C$16,Full_Report!$B$86,0,0)))</f>
        <v/>
      </c>
      <c r="F656" s="3" t="str">
        <f t="shared" si="47"/>
        <v/>
      </c>
      <c r="G656" s="5" t="str">
        <f t="shared" si="43"/>
        <v/>
      </c>
      <c r="H656" s="5" t="str">
        <f t="shared" si="44"/>
        <v/>
      </c>
    </row>
    <row r="657" spans="1:8" x14ac:dyDescent="0.25">
      <c r="A657" s="1" t="str">
        <f>IF(OR(A656="",F656=0,A656=Refinance_Calculator!$C$16),"",A656+1)</f>
        <v/>
      </c>
      <c r="B657" s="3" t="str">
        <f t="shared" si="45"/>
        <v/>
      </c>
      <c r="C657" s="3" t="str">
        <f>IF(A657="","",(-PMT(Refinance_Calculator!$C$13/12,Refinance_Calculator!$C$16,Full_Report!$B$86,0,0)))</f>
        <v/>
      </c>
      <c r="D657" s="3" t="str">
        <f t="shared" si="46"/>
        <v/>
      </c>
      <c r="E657" s="3" t="str">
        <f>IF(A657="","",(-PPMT(Refinance_Calculator!$C$13/12,Full_Report!A657,Refinance_Calculator!$C$16,Full_Report!$B$86,0,0)))</f>
        <v/>
      </c>
      <c r="F657" s="3" t="str">
        <f t="shared" si="47"/>
        <v/>
      </c>
      <c r="G657" s="5" t="str">
        <f t="shared" si="43"/>
        <v/>
      </c>
      <c r="H657" s="5" t="str">
        <f t="shared" si="44"/>
        <v/>
      </c>
    </row>
    <row r="658" spans="1:8" x14ac:dyDescent="0.25">
      <c r="A658" s="1" t="str">
        <f>IF(OR(A657="",F657=0,A657=Refinance_Calculator!$C$16),"",A657+1)</f>
        <v/>
      </c>
      <c r="B658" s="3" t="str">
        <f t="shared" si="45"/>
        <v/>
      </c>
      <c r="C658" s="3" t="str">
        <f>IF(A658="","",(-PMT(Refinance_Calculator!$C$13/12,Refinance_Calculator!$C$16,Full_Report!$B$86,0,0)))</f>
        <v/>
      </c>
      <c r="D658" s="3" t="str">
        <f t="shared" si="46"/>
        <v/>
      </c>
      <c r="E658" s="3" t="str">
        <f>IF(A658="","",(-PPMT(Refinance_Calculator!$C$13/12,Full_Report!A658,Refinance_Calculator!$C$16,Full_Report!$B$86,0,0)))</f>
        <v/>
      </c>
      <c r="F658" s="3" t="str">
        <f t="shared" si="47"/>
        <v/>
      </c>
      <c r="G658" s="5" t="str">
        <f t="shared" si="43"/>
        <v/>
      </c>
      <c r="H658" s="5" t="str">
        <f t="shared" si="44"/>
        <v/>
      </c>
    </row>
    <row r="659" spans="1:8" x14ac:dyDescent="0.25">
      <c r="A659" s="1" t="str">
        <f>IF(OR(A658="",F658=0,A658=Refinance_Calculator!$C$16),"",A658+1)</f>
        <v/>
      </c>
      <c r="B659" s="3" t="str">
        <f t="shared" si="45"/>
        <v/>
      </c>
      <c r="C659" s="3" t="str">
        <f>IF(A659="","",(-PMT(Refinance_Calculator!$C$13/12,Refinance_Calculator!$C$16,Full_Report!$B$86,0,0)))</f>
        <v/>
      </c>
      <c r="D659" s="3" t="str">
        <f t="shared" si="46"/>
        <v/>
      </c>
      <c r="E659" s="3" t="str">
        <f>IF(A659="","",(-PPMT(Refinance_Calculator!$C$13/12,Full_Report!A659,Refinance_Calculator!$C$16,Full_Report!$B$86,0,0)))</f>
        <v/>
      </c>
      <c r="F659" s="3" t="str">
        <f t="shared" si="47"/>
        <v/>
      </c>
      <c r="G659" s="5" t="str">
        <f t="shared" si="43"/>
        <v/>
      </c>
      <c r="H659" s="5" t="str">
        <f t="shared" si="44"/>
        <v/>
      </c>
    </row>
    <row r="660" spans="1:8" x14ac:dyDescent="0.25">
      <c r="A660" s="1" t="str">
        <f>IF(OR(A659="",F659=0,A659=Refinance_Calculator!$C$16),"",A659+1)</f>
        <v/>
      </c>
      <c r="B660" s="3" t="str">
        <f t="shared" si="45"/>
        <v/>
      </c>
      <c r="C660" s="3" t="str">
        <f>IF(A660="","",(-PMT(Refinance_Calculator!$C$13/12,Refinance_Calculator!$C$16,Full_Report!$B$86,0,0)))</f>
        <v/>
      </c>
      <c r="D660" s="3" t="str">
        <f t="shared" si="46"/>
        <v/>
      </c>
      <c r="E660" s="3" t="str">
        <f>IF(A660="","",(-PPMT(Refinance_Calculator!$C$13/12,Full_Report!A660,Refinance_Calculator!$C$16,Full_Report!$B$86,0,0)))</f>
        <v/>
      </c>
      <c r="F660" s="3" t="str">
        <f t="shared" si="47"/>
        <v/>
      </c>
      <c r="G660" s="5" t="str">
        <f t="shared" si="43"/>
        <v/>
      </c>
      <c r="H660" s="5" t="str">
        <f t="shared" si="44"/>
        <v/>
      </c>
    </row>
    <row r="661" spans="1:8" x14ac:dyDescent="0.25">
      <c r="A661" s="1" t="str">
        <f>IF(OR(A660="",F660=0,A660=Refinance_Calculator!$C$16),"",A660+1)</f>
        <v/>
      </c>
      <c r="B661" s="3" t="str">
        <f t="shared" si="45"/>
        <v/>
      </c>
      <c r="C661" s="3" t="str">
        <f>IF(A661="","",(-PMT(Refinance_Calculator!$C$13/12,Refinance_Calculator!$C$16,Full_Report!$B$86,0,0)))</f>
        <v/>
      </c>
      <c r="D661" s="3" t="str">
        <f t="shared" si="46"/>
        <v/>
      </c>
      <c r="E661" s="3" t="str">
        <f>IF(A661="","",(-PPMT(Refinance_Calculator!$C$13/12,Full_Report!A661,Refinance_Calculator!$C$16,Full_Report!$B$86,0,0)))</f>
        <v/>
      </c>
      <c r="F661" s="3" t="str">
        <f t="shared" si="47"/>
        <v/>
      </c>
      <c r="G661" s="5" t="str">
        <f t="shared" si="43"/>
        <v/>
      </c>
      <c r="H661" s="5" t="str">
        <f t="shared" si="44"/>
        <v/>
      </c>
    </row>
    <row r="662" spans="1:8" x14ac:dyDescent="0.25">
      <c r="A662" s="1" t="str">
        <f>IF(OR(A661="",F661=0,A661=Refinance_Calculator!$C$16),"",A661+1)</f>
        <v/>
      </c>
      <c r="B662" s="3" t="str">
        <f t="shared" si="45"/>
        <v/>
      </c>
      <c r="C662" s="3" t="str">
        <f>IF(A662="","",(-PMT(Refinance_Calculator!$C$13/12,Refinance_Calculator!$C$16,Full_Report!$B$86,0,0)))</f>
        <v/>
      </c>
      <c r="D662" s="3" t="str">
        <f t="shared" si="46"/>
        <v/>
      </c>
      <c r="E662" s="3" t="str">
        <f>IF(A662="","",(-PPMT(Refinance_Calculator!$C$13/12,Full_Report!A662,Refinance_Calculator!$C$16,Full_Report!$B$86,0,0)))</f>
        <v/>
      </c>
      <c r="F662" s="3" t="str">
        <f t="shared" si="47"/>
        <v/>
      </c>
      <c r="G662" s="5" t="str">
        <f t="shared" si="43"/>
        <v/>
      </c>
      <c r="H662" s="5" t="str">
        <f t="shared" si="44"/>
        <v/>
      </c>
    </row>
    <row r="663" spans="1:8" x14ac:dyDescent="0.25">
      <c r="A663" s="1" t="str">
        <f>IF(OR(A662="",F662=0,A662=Refinance_Calculator!$C$16),"",A662+1)</f>
        <v/>
      </c>
      <c r="B663" s="3" t="str">
        <f t="shared" si="45"/>
        <v/>
      </c>
      <c r="C663" s="3" t="str">
        <f>IF(A663="","",(-PMT(Refinance_Calculator!$C$13/12,Refinance_Calculator!$C$16,Full_Report!$B$86,0,0)))</f>
        <v/>
      </c>
      <c r="D663" s="3" t="str">
        <f t="shared" si="46"/>
        <v/>
      </c>
      <c r="E663" s="3" t="str">
        <f>IF(A663="","",(-PPMT(Refinance_Calculator!$C$13/12,Full_Report!A663,Refinance_Calculator!$C$16,Full_Report!$B$86,0,0)))</f>
        <v/>
      </c>
      <c r="F663" s="3" t="str">
        <f t="shared" si="47"/>
        <v/>
      </c>
      <c r="G663" s="5" t="str">
        <f t="shared" si="43"/>
        <v/>
      </c>
      <c r="H663" s="5" t="str">
        <f t="shared" si="44"/>
        <v/>
      </c>
    </row>
    <row r="664" spans="1:8" x14ac:dyDescent="0.25">
      <c r="A664" s="1" t="str">
        <f>IF(OR(A663="",F663=0,A663=Refinance_Calculator!$C$16),"",A663+1)</f>
        <v/>
      </c>
      <c r="B664" s="3" t="str">
        <f t="shared" si="45"/>
        <v/>
      </c>
      <c r="C664" s="3" t="str">
        <f>IF(A664="","",(-PMT(Refinance_Calculator!$C$13/12,Refinance_Calculator!$C$16,Full_Report!$B$86,0,0)))</f>
        <v/>
      </c>
      <c r="D664" s="3" t="str">
        <f t="shared" si="46"/>
        <v/>
      </c>
      <c r="E664" s="3" t="str">
        <f>IF(A664="","",(-PPMT(Refinance_Calculator!$C$13/12,Full_Report!A664,Refinance_Calculator!$C$16,Full_Report!$B$86,0,0)))</f>
        <v/>
      </c>
      <c r="F664" s="3" t="str">
        <f t="shared" si="47"/>
        <v/>
      </c>
      <c r="G664" s="5" t="str">
        <f t="shared" ref="G664:G716" si="48">+IF(A664="","",(E664+G663))</f>
        <v/>
      </c>
      <c r="H664" s="5" t="str">
        <f t="shared" ref="H664:H716" si="49">+IF(B664="","",(D664+H663))</f>
        <v/>
      </c>
    </row>
    <row r="665" spans="1:8" x14ac:dyDescent="0.25">
      <c r="A665" s="1" t="str">
        <f>IF(OR(A664="",F664=0,A664=Refinance_Calculator!$C$16),"",A664+1)</f>
        <v/>
      </c>
      <c r="B665" s="3" t="str">
        <f t="shared" si="45"/>
        <v/>
      </c>
      <c r="C665" s="3" t="str">
        <f>IF(A665="","",(-PMT(Refinance_Calculator!$C$13/12,Refinance_Calculator!$C$16,Full_Report!$B$86,0,0)))</f>
        <v/>
      </c>
      <c r="D665" s="3" t="str">
        <f t="shared" si="46"/>
        <v/>
      </c>
      <c r="E665" s="3" t="str">
        <f>IF(A665="","",(-PPMT(Refinance_Calculator!$C$13/12,Full_Report!A665,Refinance_Calculator!$C$16,Full_Report!$B$86,0,0)))</f>
        <v/>
      </c>
      <c r="F665" s="3" t="str">
        <f t="shared" si="47"/>
        <v/>
      </c>
      <c r="G665" s="5" t="str">
        <f t="shared" si="48"/>
        <v/>
      </c>
      <c r="H665" s="5" t="str">
        <f t="shared" si="49"/>
        <v/>
      </c>
    </row>
    <row r="666" spans="1:8" x14ac:dyDescent="0.25">
      <c r="A666" s="1" t="str">
        <f>IF(OR(A665="",F665=0,A665=Refinance_Calculator!$C$16),"",A665+1)</f>
        <v/>
      </c>
      <c r="B666" s="3" t="str">
        <f t="shared" si="45"/>
        <v/>
      </c>
      <c r="C666" s="3" t="str">
        <f>IF(A666="","",(-PMT(Refinance_Calculator!$C$13/12,Refinance_Calculator!$C$16,Full_Report!$B$86,0,0)))</f>
        <v/>
      </c>
      <c r="D666" s="3" t="str">
        <f t="shared" si="46"/>
        <v/>
      </c>
      <c r="E666" s="3" t="str">
        <f>IF(A666="","",(-PPMT(Refinance_Calculator!$C$13/12,Full_Report!A666,Refinance_Calculator!$C$16,Full_Report!$B$86,0,0)))</f>
        <v/>
      </c>
      <c r="F666" s="3" t="str">
        <f t="shared" si="47"/>
        <v/>
      </c>
      <c r="G666" s="5" t="str">
        <f t="shared" si="48"/>
        <v/>
      </c>
      <c r="H666" s="5" t="str">
        <f t="shared" si="49"/>
        <v/>
      </c>
    </row>
    <row r="667" spans="1:8" x14ac:dyDescent="0.25">
      <c r="A667" s="1" t="str">
        <f>IF(OR(A666="",F666=0,A666=Refinance_Calculator!$C$16),"",A666+1)</f>
        <v/>
      </c>
      <c r="B667" s="3" t="str">
        <f t="shared" si="45"/>
        <v/>
      </c>
      <c r="C667" s="3" t="str">
        <f>IF(A667="","",(-PMT(Refinance_Calculator!$C$13/12,Refinance_Calculator!$C$16,Full_Report!$B$86,0,0)))</f>
        <v/>
      </c>
      <c r="D667" s="3" t="str">
        <f t="shared" si="46"/>
        <v/>
      </c>
      <c r="E667" s="3" t="str">
        <f>IF(A667="","",(-PPMT(Refinance_Calculator!$C$13/12,Full_Report!A667,Refinance_Calculator!$C$16,Full_Report!$B$86,0,0)))</f>
        <v/>
      </c>
      <c r="F667" s="3" t="str">
        <f t="shared" si="47"/>
        <v/>
      </c>
      <c r="G667" s="5" t="str">
        <f t="shared" si="48"/>
        <v/>
      </c>
      <c r="H667" s="5" t="str">
        <f t="shared" si="49"/>
        <v/>
      </c>
    </row>
    <row r="668" spans="1:8" x14ac:dyDescent="0.25">
      <c r="A668" s="1" t="str">
        <f>IF(OR(A667="",F667=0,A667=Refinance_Calculator!$C$16),"",A667+1)</f>
        <v/>
      </c>
      <c r="B668" s="3" t="str">
        <f t="shared" si="45"/>
        <v/>
      </c>
      <c r="C668" s="3" t="str">
        <f>IF(A668="","",(-PMT(Refinance_Calculator!$C$13/12,Refinance_Calculator!$C$16,Full_Report!$B$86,0,0)))</f>
        <v/>
      </c>
      <c r="D668" s="3" t="str">
        <f t="shared" si="46"/>
        <v/>
      </c>
      <c r="E668" s="3" t="str">
        <f>IF(A668="","",(-PPMT(Refinance_Calculator!$C$13/12,Full_Report!A668,Refinance_Calculator!$C$16,Full_Report!$B$86,0,0)))</f>
        <v/>
      </c>
      <c r="F668" s="3" t="str">
        <f t="shared" si="47"/>
        <v/>
      </c>
      <c r="G668" s="5" t="str">
        <f t="shared" si="48"/>
        <v/>
      </c>
      <c r="H668" s="5" t="str">
        <f t="shared" si="49"/>
        <v/>
      </c>
    </row>
    <row r="669" spans="1:8" x14ac:dyDescent="0.25">
      <c r="A669" s="1" t="str">
        <f>IF(OR(A668="",F668=0,A668=Refinance_Calculator!$C$16),"",A668+1)</f>
        <v/>
      </c>
      <c r="B669" s="3" t="str">
        <f t="shared" si="45"/>
        <v/>
      </c>
      <c r="C669" s="3" t="str">
        <f>IF(A669="","",(-PMT(Refinance_Calculator!$C$13/12,Refinance_Calculator!$C$16,Full_Report!$B$86,0,0)))</f>
        <v/>
      </c>
      <c r="D669" s="3" t="str">
        <f t="shared" si="46"/>
        <v/>
      </c>
      <c r="E669" s="3" t="str">
        <f>IF(A669="","",(-PPMT(Refinance_Calculator!$C$13/12,Full_Report!A669,Refinance_Calculator!$C$16,Full_Report!$B$86,0,0)))</f>
        <v/>
      </c>
      <c r="F669" s="3" t="str">
        <f t="shared" si="47"/>
        <v/>
      </c>
      <c r="G669" s="5" t="str">
        <f t="shared" si="48"/>
        <v/>
      </c>
      <c r="H669" s="5" t="str">
        <f t="shared" si="49"/>
        <v/>
      </c>
    </row>
    <row r="670" spans="1:8" x14ac:dyDescent="0.25">
      <c r="A670" s="1" t="str">
        <f>IF(OR(A669="",F669=0,A669=Refinance_Calculator!$C$16),"",A669+1)</f>
        <v/>
      </c>
      <c r="B670" s="3" t="str">
        <f t="shared" si="45"/>
        <v/>
      </c>
      <c r="C670" s="3" t="str">
        <f>IF(A670="","",(-PMT(Refinance_Calculator!$C$13/12,Refinance_Calculator!$C$16,Full_Report!$B$86,0,0)))</f>
        <v/>
      </c>
      <c r="D670" s="3" t="str">
        <f t="shared" si="46"/>
        <v/>
      </c>
      <c r="E670" s="3" t="str">
        <f>IF(A670="","",(-PPMT(Refinance_Calculator!$C$13/12,Full_Report!A670,Refinance_Calculator!$C$16,Full_Report!$B$86,0,0)))</f>
        <v/>
      </c>
      <c r="F670" s="3" t="str">
        <f t="shared" si="47"/>
        <v/>
      </c>
      <c r="G670" s="5" t="str">
        <f t="shared" si="48"/>
        <v/>
      </c>
      <c r="H670" s="5" t="str">
        <f t="shared" si="49"/>
        <v/>
      </c>
    </row>
    <row r="671" spans="1:8" x14ac:dyDescent="0.25">
      <c r="A671" s="1" t="str">
        <f>IF(OR(A670="",F670=0,A670=Refinance_Calculator!$C$16),"",A670+1)</f>
        <v/>
      </c>
      <c r="B671" s="3" t="str">
        <f t="shared" si="45"/>
        <v/>
      </c>
      <c r="C671" s="3" t="str">
        <f>IF(A671="","",(-PMT(Refinance_Calculator!$C$13/12,Refinance_Calculator!$C$16,Full_Report!$B$86,0,0)))</f>
        <v/>
      </c>
      <c r="D671" s="3" t="str">
        <f t="shared" si="46"/>
        <v/>
      </c>
      <c r="E671" s="3" t="str">
        <f>IF(A671="","",(-PPMT(Refinance_Calculator!$C$13/12,Full_Report!A671,Refinance_Calculator!$C$16,Full_Report!$B$86,0,0)))</f>
        <v/>
      </c>
      <c r="F671" s="3" t="str">
        <f t="shared" si="47"/>
        <v/>
      </c>
      <c r="G671" s="5" t="str">
        <f t="shared" si="48"/>
        <v/>
      </c>
      <c r="H671" s="5" t="str">
        <f t="shared" si="49"/>
        <v/>
      </c>
    </row>
    <row r="672" spans="1:8" x14ac:dyDescent="0.25">
      <c r="A672" s="1" t="str">
        <f>IF(OR(A671="",F671=0,A671=Refinance_Calculator!$C$16),"",A671+1)</f>
        <v/>
      </c>
      <c r="B672" s="3" t="str">
        <f t="shared" si="45"/>
        <v/>
      </c>
      <c r="C672" s="3" t="str">
        <f>IF(A672="","",(-PMT(Refinance_Calculator!$C$13/12,Refinance_Calculator!$C$16,Full_Report!$B$86,0,0)))</f>
        <v/>
      </c>
      <c r="D672" s="3" t="str">
        <f t="shared" si="46"/>
        <v/>
      </c>
      <c r="E672" s="3" t="str">
        <f>IF(A672="","",(-PPMT(Refinance_Calculator!$C$13/12,Full_Report!A672,Refinance_Calculator!$C$16,Full_Report!$B$86,0,0)))</f>
        <v/>
      </c>
      <c r="F672" s="3" t="str">
        <f t="shared" si="47"/>
        <v/>
      </c>
      <c r="G672" s="5" t="str">
        <f t="shared" si="48"/>
        <v/>
      </c>
      <c r="H672" s="5" t="str">
        <f t="shared" si="49"/>
        <v/>
      </c>
    </row>
    <row r="673" spans="1:8" x14ac:dyDescent="0.25">
      <c r="A673" s="1" t="str">
        <f>IF(OR(A672="",F672=0,A672=Refinance_Calculator!$C$16),"",A672+1)</f>
        <v/>
      </c>
      <c r="B673" s="3" t="str">
        <f t="shared" si="45"/>
        <v/>
      </c>
      <c r="C673" s="3" t="str">
        <f>IF(A673="","",(-PMT(Refinance_Calculator!$C$13/12,Refinance_Calculator!$C$16,Full_Report!$B$86,0,0)))</f>
        <v/>
      </c>
      <c r="D673" s="3" t="str">
        <f t="shared" si="46"/>
        <v/>
      </c>
      <c r="E673" s="3" t="str">
        <f>IF(A673="","",(-PPMT(Refinance_Calculator!$C$13/12,Full_Report!A673,Refinance_Calculator!$C$16,Full_Report!$B$86,0,0)))</f>
        <v/>
      </c>
      <c r="F673" s="3" t="str">
        <f t="shared" si="47"/>
        <v/>
      </c>
      <c r="G673" s="5" t="str">
        <f t="shared" si="48"/>
        <v/>
      </c>
      <c r="H673" s="5" t="str">
        <f t="shared" si="49"/>
        <v/>
      </c>
    </row>
    <row r="674" spans="1:8" x14ac:dyDescent="0.25">
      <c r="A674" s="1" t="str">
        <f>IF(OR(A673="",F673=0,A673=Refinance_Calculator!$C$16),"",A673+1)</f>
        <v/>
      </c>
      <c r="B674" s="3" t="str">
        <f t="shared" ref="B674:B716" si="50">IF(A674="","",(F673))</f>
        <v/>
      </c>
      <c r="C674" s="3" t="str">
        <f>IF(A674="","",(-PMT(Refinance_Calculator!$C$13/12,Refinance_Calculator!$C$16,Full_Report!$B$86,0,0)))</f>
        <v/>
      </c>
      <c r="D674" s="3" t="str">
        <f t="shared" ref="D674:D716" si="51">+IF(A674="","",(C674-E674))</f>
        <v/>
      </c>
      <c r="E674" s="3" t="str">
        <f>IF(A674="","",(-PPMT(Refinance_Calculator!$C$13/12,Full_Report!A674,Refinance_Calculator!$C$16,Full_Report!$B$86,0,0)))</f>
        <v/>
      </c>
      <c r="F674" s="3" t="str">
        <f t="shared" ref="F674:F716" si="52">IF(A674="","",(B674-E674))</f>
        <v/>
      </c>
      <c r="G674" s="5" t="str">
        <f t="shared" si="48"/>
        <v/>
      </c>
      <c r="H674" s="5" t="str">
        <f t="shared" si="49"/>
        <v/>
      </c>
    </row>
    <row r="675" spans="1:8" x14ac:dyDescent="0.25">
      <c r="A675" s="1" t="str">
        <f>IF(OR(A674="",F674=0,A674=Refinance_Calculator!$C$16),"",A674+1)</f>
        <v/>
      </c>
      <c r="B675" s="3" t="str">
        <f t="shared" si="50"/>
        <v/>
      </c>
      <c r="C675" s="3" t="str">
        <f>IF(A675="","",(-PMT(Refinance_Calculator!$C$13/12,Refinance_Calculator!$C$16,Full_Report!$B$86,0,0)))</f>
        <v/>
      </c>
      <c r="D675" s="3" t="str">
        <f t="shared" si="51"/>
        <v/>
      </c>
      <c r="E675" s="3" t="str">
        <f>IF(A675="","",(-PPMT(Refinance_Calculator!$C$13/12,Full_Report!A675,Refinance_Calculator!$C$16,Full_Report!$B$86,0,0)))</f>
        <v/>
      </c>
      <c r="F675" s="3" t="str">
        <f t="shared" si="52"/>
        <v/>
      </c>
      <c r="G675" s="5" t="str">
        <f t="shared" si="48"/>
        <v/>
      </c>
      <c r="H675" s="5" t="str">
        <f t="shared" si="49"/>
        <v/>
      </c>
    </row>
    <row r="676" spans="1:8" x14ac:dyDescent="0.25">
      <c r="A676" s="1" t="str">
        <f>IF(OR(A675="",F675=0,A675=Refinance_Calculator!$C$16),"",A675+1)</f>
        <v/>
      </c>
      <c r="B676" s="3" t="str">
        <f t="shared" si="50"/>
        <v/>
      </c>
      <c r="C676" s="3" t="str">
        <f>IF(A676="","",(-PMT(Refinance_Calculator!$C$13/12,Refinance_Calculator!$C$16,Full_Report!$B$86,0,0)))</f>
        <v/>
      </c>
      <c r="D676" s="3" t="str">
        <f t="shared" si="51"/>
        <v/>
      </c>
      <c r="E676" s="3" t="str">
        <f>IF(A676="","",(-PPMT(Refinance_Calculator!$C$13/12,Full_Report!A676,Refinance_Calculator!$C$16,Full_Report!$B$86,0,0)))</f>
        <v/>
      </c>
      <c r="F676" s="3" t="str">
        <f t="shared" si="52"/>
        <v/>
      </c>
      <c r="G676" s="5" t="str">
        <f t="shared" si="48"/>
        <v/>
      </c>
      <c r="H676" s="5" t="str">
        <f t="shared" si="49"/>
        <v/>
      </c>
    </row>
    <row r="677" spans="1:8" x14ac:dyDescent="0.25">
      <c r="A677" s="1" t="str">
        <f>IF(OR(A676="",F676=0,A676=Refinance_Calculator!$C$16),"",A676+1)</f>
        <v/>
      </c>
      <c r="B677" s="3" t="str">
        <f t="shared" si="50"/>
        <v/>
      </c>
      <c r="C677" s="3" t="str">
        <f>IF(A677="","",(-PMT(Refinance_Calculator!$C$13/12,Refinance_Calculator!$C$16,Full_Report!$B$86,0,0)))</f>
        <v/>
      </c>
      <c r="D677" s="3" t="str">
        <f t="shared" si="51"/>
        <v/>
      </c>
      <c r="E677" s="3" t="str">
        <f>IF(A677="","",(-PPMT(Refinance_Calculator!$C$13/12,Full_Report!A677,Refinance_Calculator!$C$16,Full_Report!$B$86,0,0)))</f>
        <v/>
      </c>
      <c r="F677" s="3" t="str">
        <f t="shared" si="52"/>
        <v/>
      </c>
      <c r="G677" s="5" t="str">
        <f t="shared" si="48"/>
        <v/>
      </c>
      <c r="H677" s="5" t="str">
        <f t="shared" si="49"/>
        <v/>
      </c>
    </row>
    <row r="678" spans="1:8" x14ac:dyDescent="0.25">
      <c r="A678" s="1" t="str">
        <f>IF(OR(A677="",F677=0,A677=Refinance_Calculator!$C$16),"",A677+1)</f>
        <v/>
      </c>
      <c r="B678" s="3" t="str">
        <f t="shared" si="50"/>
        <v/>
      </c>
      <c r="C678" s="3" t="str">
        <f>IF(A678="","",(-PMT(Refinance_Calculator!$C$13/12,Refinance_Calculator!$C$16,Full_Report!$B$86,0,0)))</f>
        <v/>
      </c>
      <c r="D678" s="3" t="str">
        <f t="shared" si="51"/>
        <v/>
      </c>
      <c r="E678" s="3" t="str">
        <f>IF(A678="","",(-PPMT(Refinance_Calculator!$C$13/12,Full_Report!A678,Refinance_Calculator!$C$16,Full_Report!$B$86,0,0)))</f>
        <v/>
      </c>
      <c r="F678" s="3" t="str">
        <f t="shared" si="52"/>
        <v/>
      </c>
      <c r="G678" s="5" t="str">
        <f t="shared" si="48"/>
        <v/>
      </c>
      <c r="H678" s="5" t="str">
        <f t="shared" si="49"/>
        <v/>
      </c>
    </row>
    <row r="679" spans="1:8" x14ac:dyDescent="0.25">
      <c r="A679" s="1" t="str">
        <f>IF(OR(A678="",F678=0,A678=Refinance_Calculator!$C$16),"",A678+1)</f>
        <v/>
      </c>
      <c r="B679" s="3" t="str">
        <f t="shared" si="50"/>
        <v/>
      </c>
      <c r="C679" s="3" t="str">
        <f>IF(A679="","",(-PMT(Refinance_Calculator!$C$13/12,Refinance_Calculator!$C$16,Full_Report!$B$86,0,0)))</f>
        <v/>
      </c>
      <c r="D679" s="3" t="str">
        <f t="shared" si="51"/>
        <v/>
      </c>
      <c r="E679" s="3" t="str">
        <f>IF(A679="","",(-PPMT(Refinance_Calculator!$C$13/12,Full_Report!A679,Refinance_Calculator!$C$16,Full_Report!$B$86,0,0)))</f>
        <v/>
      </c>
      <c r="F679" s="3" t="str">
        <f t="shared" si="52"/>
        <v/>
      </c>
      <c r="G679" s="5" t="str">
        <f t="shared" si="48"/>
        <v/>
      </c>
      <c r="H679" s="5" t="str">
        <f t="shared" si="49"/>
        <v/>
      </c>
    </row>
    <row r="680" spans="1:8" x14ac:dyDescent="0.25">
      <c r="A680" s="1" t="str">
        <f>IF(OR(A679="",F679=0,A679=Refinance_Calculator!$C$16),"",A679+1)</f>
        <v/>
      </c>
      <c r="B680" s="3" t="str">
        <f t="shared" si="50"/>
        <v/>
      </c>
      <c r="C680" s="3" t="str">
        <f>IF(A680="","",(-PMT(Refinance_Calculator!$C$13/12,Refinance_Calculator!$C$16,Full_Report!$B$86,0,0)))</f>
        <v/>
      </c>
      <c r="D680" s="3" t="str">
        <f t="shared" si="51"/>
        <v/>
      </c>
      <c r="E680" s="3" t="str">
        <f>IF(A680="","",(-PPMT(Refinance_Calculator!$C$13/12,Full_Report!A680,Refinance_Calculator!$C$16,Full_Report!$B$86,0,0)))</f>
        <v/>
      </c>
      <c r="F680" s="3" t="str">
        <f t="shared" si="52"/>
        <v/>
      </c>
      <c r="G680" s="5" t="str">
        <f t="shared" si="48"/>
        <v/>
      </c>
      <c r="H680" s="5" t="str">
        <f t="shared" si="49"/>
        <v/>
      </c>
    </row>
    <row r="681" spans="1:8" x14ac:dyDescent="0.25">
      <c r="A681" s="1" t="str">
        <f>IF(OR(A680="",F680=0,A680=Refinance_Calculator!$C$16),"",A680+1)</f>
        <v/>
      </c>
      <c r="B681" s="3" t="str">
        <f t="shared" si="50"/>
        <v/>
      </c>
      <c r="C681" s="3" t="str">
        <f>IF(A681="","",(-PMT(Refinance_Calculator!$C$13/12,Refinance_Calculator!$C$16,Full_Report!$B$86,0,0)))</f>
        <v/>
      </c>
      <c r="D681" s="3" t="str">
        <f t="shared" si="51"/>
        <v/>
      </c>
      <c r="E681" s="3" t="str">
        <f>IF(A681="","",(-PPMT(Refinance_Calculator!$C$13/12,Full_Report!A681,Refinance_Calculator!$C$16,Full_Report!$B$86,0,0)))</f>
        <v/>
      </c>
      <c r="F681" s="3" t="str">
        <f t="shared" si="52"/>
        <v/>
      </c>
      <c r="G681" s="5" t="str">
        <f t="shared" si="48"/>
        <v/>
      </c>
      <c r="H681" s="5" t="str">
        <f t="shared" si="49"/>
        <v/>
      </c>
    </row>
    <row r="682" spans="1:8" x14ac:dyDescent="0.25">
      <c r="A682" s="1" t="str">
        <f>IF(OR(A681="",F681=0,A681=Refinance_Calculator!$C$16),"",A681+1)</f>
        <v/>
      </c>
      <c r="B682" s="3" t="str">
        <f t="shared" si="50"/>
        <v/>
      </c>
      <c r="C682" s="3" t="str">
        <f>IF(A682="","",(-PMT(Refinance_Calculator!$C$13/12,Refinance_Calculator!$C$16,Full_Report!$B$86,0,0)))</f>
        <v/>
      </c>
      <c r="D682" s="3" t="str">
        <f t="shared" si="51"/>
        <v/>
      </c>
      <c r="E682" s="3" t="str">
        <f>IF(A682="","",(-PPMT(Refinance_Calculator!$C$13/12,Full_Report!A682,Refinance_Calculator!$C$16,Full_Report!$B$86,0,0)))</f>
        <v/>
      </c>
      <c r="F682" s="3" t="str">
        <f t="shared" si="52"/>
        <v/>
      </c>
      <c r="G682" s="5" t="str">
        <f t="shared" si="48"/>
        <v/>
      </c>
      <c r="H682" s="5" t="str">
        <f t="shared" si="49"/>
        <v/>
      </c>
    </row>
    <row r="683" spans="1:8" x14ac:dyDescent="0.25">
      <c r="A683" s="1" t="str">
        <f>IF(OR(A682="",F682=0,A682=Refinance_Calculator!$C$16),"",A682+1)</f>
        <v/>
      </c>
      <c r="B683" s="3" t="str">
        <f t="shared" si="50"/>
        <v/>
      </c>
      <c r="C683" s="3" t="str">
        <f>IF(A683="","",(-PMT(Refinance_Calculator!$C$13/12,Refinance_Calculator!$C$16,Full_Report!$B$86,0,0)))</f>
        <v/>
      </c>
      <c r="D683" s="3" t="str">
        <f t="shared" si="51"/>
        <v/>
      </c>
      <c r="E683" s="3" t="str">
        <f>IF(A683="","",(-PPMT(Refinance_Calculator!$C$13/12,Full_Report!A683,Refinance_Calculator!$C$16,Full_Report!$B$86,0,0)))</f>
        <v/>
      </c>
      <c r="F683" s="3" t="str">
        <f t="shared" si="52"/>
        <v/>
      </c>
      <c r="G683" s="5" t="str">
        <f t="shared" si="48"/>
        <v/>
      </c>
      <c r="H683" s="5" t="str">
        <f t="shared" si="49"/>
        <v/>
      </c>
    </row>
    <row r="684" spans="1:8" x14ac:dyDescent="0.25">
      <c r="A684" s="1" t="str">
        <f>IF(OR(A683="",F683=0,A683=Refinance_Calculator!$C$16),"",A683+1)</f>
        <v/>
      </c>
      <c r="B684" s="3" t="str">
        <f t="shared" si="50"/>
        <v/>
      </c>
      <c r="C684" s="3" t="str">
        <f>IF(A684="","",(-PMT(Refinance_Calculator!$C$13/12,Refinance_Calculator!$C$16,Full_Report!$B$86,0,0)))</f>
        <v/>
      </c>
      <c r="D684" s="3" t="str">
        <f t="shared" si="51"/>
        <v/>
      </c>
      <c r="E684" s="3" t="str">
        <f>IF(A684="","",(-PPMT(Refinance_Calculator!$C$13/12,Full_Report!A684,Refinance_Calculator!$C$16,Full_Report!$B$86,0,0)))</f>
        <v/>
      </c>
      <c r="F684" s="3" t="str">
        <f t="shared" si="52"/>
        <v/>
      </c>
      <c r="G684" s="5" t="str">
        <f t="shared" si="48"/>
        <v/>
      </c>
      <c r="H684" s="5" t="str">
        <f t="shared" si="49"/>
        <v/>
      </c>
    </row>
    <row r="685" spans="1:8" x14ac:dyDescent="0.25">
      <c r="A685" s="1" t="str">
        <f>IF(OR(A684="",F684=0,A684=Refinance_Calculator!$C$16),"",A684+1)</f>
        <v/>
      </c>
      <c r="B685" s="3" t="str">
        <f t="shared" si="50"/>
        <v/>
      </c>
      <c r="C685" s="3" t="str">
        <f>IF(A685="","",(-PMT(Refinance_Calculator!$C$13/12,Refinance_Calculator!$C$16,Full_Report!$B$86,0,0)))</f>
        <v/>
      </c>
      <c r="D685" s="3" t="str">
        <f t="shared" si="51"/>
        <v/>
      </c>
      <c r="E685" s="3" t="str">
        <f>IF(A685="","",(-PPMT(Refinance_Calculator!$C$13/12,Full_Report!A685,Refinance_Calculator!$C$16,Full_Report!$B$86,0,0)))</f>
        <v/>
      </c>
      <c r="F685" s="3" t="str">
        <f t="shared" si="52"/>
        <v/>
      </c>
      <c r="G685" s="5" t="str">
        <f t="shared" si="48"/>
        <v/>
      </c>
      <c r="H685" s="5" t="str">
        <f t="shared" si="49"/>
        <v/>
      </c>
    </row>
    <row r="686" spans="1:8" x14ac:dyDescent="0.25">
      <c r="A686" s="1" t="str">
        <f>IF(OR(A685="",F685=0,A685=Refinance_Calculator!$C$16),"",A685+1)</f>
        <v/>
      </c>
      <c r="B686" s="3" t="str">
        <f t="shared" si="50"/>
        <v/>
      </c>
      <c r="C686" s="3" t="str">
        <f>IF(A686="","",(-PMT(Refinance_Calculator!$C$13/12,Refinance_Calculator!$C$16,Full_Report!$B$86,0,0)))</f>
        <v/>
      </c>
      <c r="D686" s="3" t="str">
        <f t="shared" si="51"/>
        <v/>
      </c>
      <c r="E686" s="3" t="str">
        <f>IF(A686="","",(-PPMT(Refinance_Calculator!$C$13/12,Full_Report!A686,Refinance_Calculator!$C$16,Full_Report!$B$86,0,0)))</f>
        <v/>
      </c>
      <c r="F686" s="3" t="str">
        <f t="shared" si="52"/>
        <v/>
      </c>
      <c r="G686" s="5" t="str">
        <f t="shared" si="48"/>
        <v/>
      </c>
      <c r="H686" s="5" t="str">
        <f t="shared" si="49"/>
        <v/>
      </c>
    </row>
    <row r="687" spans="1:8" x14ac:dyDescent="0.25">
      <c r="A687" s="1" t="str">
        <f>IF(OR(A686="",F686=0,A686=Refinance_Calculator!$C$16),"",A686+1)</f>
        <v/>
      </c>
      <c r="B687" s="3" t="str">
        <f t="shared" si="50"/>
        <v/>
      </c>
      <c r="C687" s="3" t="str">
        <f>IF(A687="","",(-PMT(Refinance_Calculator!$C$13/12,Refinance_Calculator!$C$16,Full_Report!$B$86,0,0)))</f>
        <v/>
      </c>
      <c r="D687" s="3" t="str">
        <f t="shared" si="51"/>
        <v/>
      </c>
      <c r="E687" s="3" t="str">
        <f>IF(A687="","",(-PPMT(Refinance_Calculator!$C$13/12,Full_Report!A687,Refinance_Calculator!$C$16,Full_Report!$B$86,0,0)))</f>
        <v/>
      </c>
      <c r="F687" s="3" t="str">
        <f t="shared" si="52"/>
        <v/>
      </c>
      <c r="G687" s="5" t="str">
        <f t="shared" si="48"/>
        <v/>
      </c>
      <c r="H687" s="5" t="str">
        <f t="shared" si="49"/>
        <v/>
      </c>
    </row>
    <row r="688" spans="1:8" x14ac:dyDescent="0.25">
      <c r="A688" s="1" t="str">
        <f>IF(OR(A687="",F687=0,A687=Refinance_Calculator!$C$16),"",A687+1)</f>
        <v/>
      </c>
      <c r="B688" s="3" t="str">
        <f t="shared" si="50"/>
        <v/>
      </c>
      <c r="C688" s="3" t="str">
        <f>IF(A688="","",(-PMT(Refinance_Calculator!$C$13/12,Refinance_Calculator!$C$16,Full_Report!$B$86,0,0)))</f>
        <v/>
      </c>
      <c r="D688" s="3" t="str">
        <f t="shared" si="51"/>
        <v/>
      </c>
      <c r="E688" s="3" t="str">
        <f>IF(A688="","",(-PPMT(Refinance_Calculator!$C$13/12,Full_Report!A688,Refinance_Calculator!$C$16,Full_Report!$B$86,0,0)))</f>
        <v/>
      </c>
      <c r="F688" s="3" t="str">
        <f t="shared" si="52"/>
        <v/>
      </c>
      <c r="G688" s="5" t="str">
        <f t="shared" si="48"/>
        <v/>
      </c>
      <c r="H688" s="5" t="str">
        <f t="shared" si="49"/>
        <v/>
      </c>
    </row>
    <row r="689" spans="1:8" x14ac:dyDescent="0.25">
      <c r="A689" s="1" t="str">
        <f>IF(OR(A688="",F688=0,A688=Refinance_Calculator!$C$16),"",A688+1)</f>
        <v/>
      </c>
      <c r="B689" s="3" t="str">
        <f t="shared" si="50"/>
        <v/>
      </c>
      <c r="C689" s="3" t="str">
        <f>IF(A689="","",(-PMT(Refinance_Calculator!$C$13/12,Refinance_Calculator!$C$16,Full_Report!$B$86,0,0)))</f>
        <v/>
      </c>
      <c r="D689" s="3" t="str">
        <f t="shared" si="51"/>
        <v/>
      </c>
      <c r="E689" s="3" t="str">
        <f>IF(A689="","",(-PPMT(Refinance_Calculator!$C$13/12,Full_Report!A689,Refinance_Calculator!$C$16,Full_Report!$B$86,0,0)))</f>
        <v/>
      </c>
      <c r="F689" s="3" t="str">
        <f t="shared" si="52"/>
        <v/>
      </c>
      <c r="G689" s="5" t="str">
        <f t="shared" si="48"/>
        <v/>
      </c>
      <c r="H689" s="5" t="str">
        <f t="shared" si="49"/>
        <v/>
      </c>
    </row>
    <row r="690" spans="1:8" x14ac:dyDescent="0.25">
      <c r="A690" s="1" t="str">
        <f>IF(OR(A689="",F689=0,A689=Refinance_Calculator!$C$16),"",A689+1)</f>
        <v/>
      </c>
      <c r="B690" s="3" t="str">
        <f t="shared" si="50"/>
        <v/>
      </c>
      <c r="C690" s="3" t="str">
        <f>IF(A690="","",(-PMT(Refinance_Calculator!$C$13/12,Refinance_Calculator!$C$16,Full_Report!$B$86,0,0)))</f>
        <v/>
      </c>
      <c r="D690" s="3" t="str">
        <f t="shared" si="51"/>
        <v/>
      </c>
      <c r="E690" s="3" t="str">
        <f>IF(A690="","",(-PPMT(Refinance_Calculator!$C$13/12,Full_Report!A690,Refinance_Calculator!$C$16,Full_Report!$B$86,0,0)))</f>
        <v/>
      </c>
      <c r="F690" s="3" t="str">
        <f t="shared" si="52"/>
        <v/>
      </c>
      <c r="G690" s="5" t="str">
        <f t="shared" si="48"/>
        <v/>
      </c>
      <c r="H690" s="5" t="str">
        <f t="shared" si="49"/>
        <v/>
      </c>
    </row>
    <row r="691" spans="1:8" x14ac:dyDescent="0.25">
      <c r="A691" s="1" t="str">
        <f>IF(OR(A690="",F690=0,A690=Refinance_Calculator!$C$16),"",A690+1)</f>
        <v/>
      </c>
      <c r="B691" s="3" t="str">
        <f t="shared" si="50"/>
        <v/>
      </c>
      <c r="C691" s="3" t="str">
        <f>IF(A691="","",(-PMT(Refinance_Calculator!$C$13/12,Refinance_Calculator!$C$16,Full_Report!$B$86,0,0)))</f>
        <v/>
      </c>
      <c r="D691" s="3" t="str">
        <f t="shared" si="51"/>
        <v/>
      </c>
      <c r="E691" s="3" t="str">
        <f>IF(A691="","",(-PPMT(Refinance_Calculator!$C$13/12,Full_Report!A691,Refinance_Calculator!$C$16,Full_Report!$B$86,0,0)))</f>
        <v/>
      </c>
      <c r="F691" s="3" t="str">
        <f t="shared" si="52"/>
        <v/>
      </c>
      <c r="G691" s="5" t="str">
        <f t="shared" si="48"/>
        <v/>
      </c>
      <c r="H691" s="5" t="str">
        <f t="shared" si="49"/>
        <v/>
      </c>
    </row>
    <row r="692" spans="1:8" x14ac:dyDescent="0.25">
      <c r="A692" s="1" t="str">
        <f>IF(OR(A691="",F691=0,A691=Refinance_Calculator!$C$16),"",A691+1)</f>
        <v/>
      </c>
      <c r="B692" s="3" t="str">
        <f t="shared" si="50"/>
        <v/>
      </c>
      <c r="C692" s="3" t="str">
        <f>IF(A692="","",(-PMT(Refinance_Calculator!$C$13/12,Refinance_Calculator!$C$16,Full_Report!$B$86,0,0)))</f>
        <v/>
      </c>
      <c r="D692" s="3" t="str">
        <f t="shared" si="51"/>
        <v/>
      </c>
      <c r="E692" s="3" t="str">
        <f>IF(A692="","",(-PPMT(Refinance_Calculator!$C$13/12,Full_Report!A692,Refinance_Calculator!$C$16,Full_Report!$B$86,0,0)))</f>
        <v/>
      </c>
      <c r="F692" s="3" t="str">
        <f t="shared" si="52"/>
        <v/>
      </c>
      <c r="G692" s="5" t="str">
        <f t="shared" si="48"/>
        <v/>
      </c>
      <c r="H692" s="5" t="str">
        <f t="shared" si="49"/>
        <v/>
      </c>
    </row>
    <row r="693" spans="1:8" x14ac:dyDescent="0.25">
      <c r="A693" s="1" t="str">
        <f>IF(OR(A692="",F692=0,A692=Refinance_Calculator!$C$16),"",A692+1)</f>
        <v/>
      </c>
      <c r="B693" s="3" t="str">
        <f t="shared" si="50"/>
        <v/>
      </c>
      <c r="C693" s="3" t="str">
        <f>IF(A693="","",(-PMT(Refinance_Calculator!$C$13/12,Refinance_Calculator!$C$16,Full_Report!$B$86,0,0)))</f>
        <v/>
      </c>
      <c r="D693" s="3" t="str">
        <f t="shared" si="51"/>
        <v/>
      </c>
      <c r="E693" s="3" t="str">
        <f>IF(A693="","",(-PPMT(Refinance_Calculator!$C$13/12,Full_Report!A693,Refinance_Calculator!$C$16,Full_Report!$B$86,0,0)))</f>
        <v/>
      </c>
      <c r="F693" s="3" t="str">
        <f t="shared" si="52"/>
        <v/>
      </c>
      <c r="G693" s="5" t="str">
        <f t="shared" si="48"/>
        <v/>
      </c>
      <c r="H693" s="5" t="str">
        <f t="shared" si="49"/>
        <v/>
      </c>
    </row>
    <row r="694" spans="1:8" x14ac:dyDescent="0.25">
      <c r="A694" s="1" t="str">
        <f>IF(OR(A693="",F693=0,A693=Refinance_Calculator!$C$16),"",A693+1)</f>
        <v/>
      </c>
      <c r="B694" s="3" t="str">
        <f t="shared" si="50"/>
        <v/>
      </c>
      <c r="C694" s="3" t="str">
        <f>IF(A694="","",(-PMT(Refinance_Calculator!$C$13/12,Refinance_Calculator!$C$16,Full_Report!$B$86,0,0)))</f>
        <v/>
      </c>
      <c r="D694" s="3" t="str">
        <f t="shared" si="51"/>
        <v/>
      </c>
      <c r="E694" s="3" t="str">
        <f>IF(A694="","",(-PPMT(Refinance_Calculator!$C$13/12,Full_Report!A694,Refinance_Calculator!$C$16,Full_Report!$B$86,0,0)))</f>
        <v/>
      </c>
      <c r="F694" s="3" t="str">
        <f t="shared" si="52"/>
        <v/>
      </c>
      <c r="G694" s="5" t="str">
        <f t="shared" si="48"/>
        <v/>
      </c>
      <c r="H694" s="5" t="str">
        <f t="shared" si="49"/>
        <v/>
      </c>
    </row>
    <row r="695" spans="1:8" x14ac:dyDescent="0.25">
      <c r="A695" s="1" t="str">
        <f>IF(OR(A694="",F694=0,A694=Refinance_Calculator!$C$16),"",A694+1)</f>
        <v/>
      </c>
      <c r="B695" s="3" t="str">
        <f t="shared" si="50"/>
        <v/>
      </c>
      <c r="C695" s="3" t="str">
        <f>IF(A695="","",(-PMT(Refinance_Calculator!$C$13/12,Refinance_Calculator!$C$16,Full_Report!$B$86,0,0)))</f>
        <v/>
      </c>
      <c r="D695" s="3" t="str">
        <f t="shared" si="51"/>
        <v/>
      </c>
      <c r="E695" s="3" t="str">
        <f>IF(A695="","",(-PPMT(Refinance_Calculator!$C$13/12,Full_Report!A695,Refinance_Calculator!$C$16,Full_Report!$B$86,0,0)))</f>
        <v/>
      </c>
      <c r="F695" s="3" t="str">
        <f t="shared" si="52"/>
        <v/>
      </c>
      <c r="G695" s="5" t="str">
        <f t="shared" si="48"/>
        <v/>
      </c>
      <c r="H695" s="5" t="str">
        <f t="shared" si="49"/>
        <v/>
      </c>
    </row>
    <row r="696" spans="1:8" x14ac:dyDescent="0.25">
      <c r="A696" s="1" t="str">
        <f>IF(OR(A695="",F695=0,A695=Refinance_Calculator!$C$16),"",A695+1)</f>
        <v/>
      </c>
      <c r="B696" s="3" t="str">
        <f t="shared" si="50"/>
        <v/>
      </c>
      <c r="C696" s="3" t="str">
        <f>IF(A696="","",(-PMT(Refinance_Calculator!$C$13/12,Refinance_Calculator!$C$16,Full_Report!$B$86,0,0)))</f>
        <v/>
      </c>
      <c r="D696" s="3" t="str">
        <f t="shared" si="51"/>
        <v/>
      </c>
      <c r="E696" s="3" t="str">
        <f>IF(A696="","",(-PPMT(Refinance_Calculator!$C$13/12,Full_Report!A696,Refinance_Calculator!$C$16,Full_Report!$B$86,0,0)))</f>
        <v/>
      </c>
      <c r="F696" s="3" t="str">
        <f t="shared" si="52"/>
        <v/>
      </c>
      <c r="G696" s="5" t="str">
        <f t="shared" si="48"/>
        <v/>
      </c>
      <c r="H696" s="5" t="str">
        <f t="shared" si="49"/>
        <v/>
      </c>
    </row>
    <row r="697" spans="1:8" x14ac:dyDescent="0.25">
      <c r="A697" s="1" t="str">
        <f>IF(OR(A696="",F696=0,A696=Refinance_Calculator!$C$16),"",A696+1)</f>
        <v/>
      </c>
      <c r="B697" s="3" t="str">
        <f t="shared" si="50"/>
        <v/>
      </c>
      <c r="C697" s="3" t="str">
        <f>IF(A697="","",(-PMT(Refinance_Calculator!$C$13/12,Refinance_Calculator!$C$16,Full_Report!$B$86,0,0)))</f>
        <v/>
      </c>
      <c r="D697" s="3" t="str">
        <f t="shared" si="51"/>
        <v/>
      </c>
      <c r="E697" s="3" t="str">
        <f>IF(A697="","",(-PPMT(Refinance_Calculator!$C$13/12,Full_Report!A697,Refinance_Calculator!$C$16,Full_Report!$B$86,0,0)))</f>
        <v/>
      </c>
      <c r="F697" s="3" t="str">
        <f t="shared" si="52"/>
        <v/>
      </c>
      <c r="G697" s="5" t="str">
        <f t="shared" si="48"/>
        <v/>
      </c>
      <c r="H697" s="5" t="str">
        <f t="shared" si="49"/>
        <v/>
      </c>
    </row>
    <row r="698" spans="1:8" x14ac:dyDescent="0.25">
      <c r="A698" s="1" t="str">
        <f>IF(OR(A697="",F697=0,A697=Refinance_Calculator!$C$16),"",A697+1)</f>
        <v/>
      </c>
      <c r="B698" s="3" t="str">
        <f t="shared" si="50"/>
        <v/>
      </c>
      <c r="C698" s="3" t="str">
        <f>IF(A698="","",(-PMT(Refinance_Calculator!$C$13/12,Refinance_Calculator!$C$16,Full_Report!$B$86,0,0)))</f>
        <v/>
      </c>
      <c r="D698" s="3" t="str">
        <f t="shared" si="51"/>
        <v/>
      </c>
      <c r="E698" s="3" t="str">
        <f>IF(A698="","",(-PPMT(Refinance_Calculator!$C$13/12,Full_Report!A698,Refinance_Calculator!$C$16,Full_Report!$B$86,0,0)))</f>
        <v/>
      </c>
      <c r="F698" s="3" t="str">
        <f t="shared" si="52"/>
        <v/>
      </c>
      <c r="G698" s="5" t="str">
        <f t="shared" si="48"/>
        <v/>
      </c>
      <c r="H698" s="5" t="str">
        <f t="shared" si="49"/>
        <v/>
      </c>
    </row>
    <row r="699" spans="1:8" x14ac:dyDescent="0.25">
      <c r="A699" s="1" t="str">
        <f>IF(OR(A698="",F698=0,A698=Refinance_Calculator!$C$16),"",A698+1)</f>
        <v/>
      </c>
      <c r="B699" s="3" t="str">
        <f t="shared" si="50"/>
        <v/>
      </c>
      <c r="C699" s="3" t="str">
        <f>IF(A699="","",(-PMT(Refinance_Calculator!$C$13/12,Refinance_Calculator!$C$16,Full_Report!$B$86,0,0)))</f>
        <v/>
      </c>
      <c r="D699" s="3" t="str">
        <f t="shared" si="51"/>
        <v/>
      </c>
      <c r="E699" s="3" t="str">
        <f>IF(A699="","",(-PPMT(Refinance_Calculator!$C$13/12,Full_Report!A699,Refinance_Calculator!$C$16,Full_Report!$B$86,0,0)))</f>
        <v/>
      </c>
      <c r="F699" s="3" t="str">
        <f t="shared" si="52"/>
        <v/>
      </c>
      <c r="G699" s="5" t="str">
        <f t="shared" si="48"/>
        <v/>
      </c>
      <c r="H699" s="5" t="str">
        <f t="shared" si="49"/>
        <v/>
      </c>
    </row>
    <row r="700" spans="1:8" x14ac:dyDescent="0.25">
      <c r="A700" s="1" t="str">
        <f>IF(OR(A699="",F699=0,A699=Refinance_Calculator!$C$16),"",A699+1)</f>
        <v/>
      </c>
      <c r="B700" s="3" t="str">
        <f t="shared" si="50"/>
        <v/>
      </c>
      <c r="C700" s="3" t="str">
        <f>IF(A700="","",(-PMT(Refinance_Calculator!$C$13/12,Refinance_Calculator!$C$16,Full_Report!$B$86,0,0)))</f>
        <v/>
      </c>
      <c r="D700" s="3" t="str">
        <f t="shared" si="51"/>
        <v/>
      </c>
      <c r="E700" s="3" t="str">
        <f>IF(A700="","",(-PPMT(Refinance_Calculator!$C$13/12,Full_Report!A700,Refinance_Calculator!$C$16,Full_Report!$B$86,0,0)))</f>
        <v/>
      </c>
      <c r="F700" s="3" t="str">
        <f t="shared" si="52"/>
        <v/>
      </c>
      <c r="G700" s="5" t="str">
        <f t="shared" si="48"/>
        <v/>
      </c>
      <c r="H700" s="5" t="str">
        <f t="shared" si="49"/>
        <v/>
      </c>
    </row>
    <row r="701" spans="1:8" x14ac:dyDescent="0.25">
      <c r="A701" s="1" t="str">
        <f>IF(OR(A700="",F700=0,A700=Refinance_Calculator!$C$16),"",A700+1)</f>
        <v/>
      </c>
      <c r="B701" s="3" t="str">
        <f t="shared" si="50"/>
        <v/>
      </c>
      <c r="C701" s="3" t="str">
        <f>IF(A701="","",(-PMT(Refinance_Calculator!$C$13/12,Refinance_Calculator!$C$16,Full_Report!$B$86,0,0)))</f>
        <v/>
      </c>
      <c r="D701" s="3" t="str">
        <f t="shared" si="51"/>
        <v/>
      </c>
      <c r="E701" s="3" t="str">
        <f>IF(A701="","",(-PPMT(Refinance_Calculator!$C$13/12,Full_Report!A701,Refinance_Calculator!$C$16,Full_Report!$B$86,0,0)))</f>
        <v/>
      </c>
      <c r="F701" s="3" t="str">
        <f t="shared" si="52"/>
        <v/>
      </c>
      <c r="G701" s="5" t="str">
        <f t="shared" si="48"/>
        <v/>
      </c>
      <c r="H701" s="5" t="str">
        <f t="shared" si="49"/>
        <v/>
      </c>
    </row>
    <row r="702" spans="1:8" x14ac:dyDescent="0.25">
      <c r="A702" s="1" t="str">
        <f>IF(OR(A701="",F701=0,A701=Refinance_Calculator!$C$16),"",A701+1)</f>
        <v/>
      </c>
      <c r="B702" s="3" t="str">
        <f t="shared" si="50"/>
        <v/>
      </c>
      <c r="C702" s="3" t="str">
        <f>IF(A702="","",(-PMT(Refinance_Calculator!$C$13/12,Refinance_Calculator!$C$16,Full_Report!$B$86,0,0)))</f>
        <v/>
      </c>
      <c r="D702" s="3" t="str">
        <f t="shared" si="51"/>
        <v/>
      </c>
      <c r="E702" s="3" t="str">
        <f>IF(A702="","",(-PPMT(Refinance_Calculator!$C$13/12,Full_Report!A702,Refinance_Calculator!$C$16,Full_Report!$B$86,0,0)))</f>
        <v/>
      </c>
      <c r="F702" s="3" t="str">
        <f t="shared" si="52"/>
        <v/>
      </c>
      <c r="G702" s="5" t="str">
        <f t="shared" si="48"/>
        <v/>
      </c>
      <c r="H702" s="5" t="str">
        <f t="shared" si="49"/>
        <v/>
      </c>
    </row>
    <row r="703" spans="1:8" x14ac:dyDescent="0.25">
      <c r="A703" s="1" t="str">
        <f>IF(OR(A702="",F702=0,A702=Refinance_Calculator!$C$16),"",A702+1)</f>
        <v/>
      </c>
      <c r="B703" s="3" t="str">
        <f t="shared" si="50"/>
        <v/>
      </c>
      <c r="C703" s="3" t="str">
        <f>IF(A703="","",(-PMT(Refinance_Calculator!$C$13/12,Refinance_Calculator!$C$16,Full_Report!$B$86,0,0)))</f>
        <v/>
      </c>
      <c r="D703" s="3" t="str">
        <f t="shared" si="51"/>
        <v/>
      </c>
      <c r="E703" s="3" t="str">
        <f>IF(A703="","",(-PPMT(Refinance_Calculator!$C$13/12,Full_Report!A703,Refinance_Calculator!$C$16,Full_Report!$B$86,0,0)))</f>
        <v/>
      </c>
      <c r="F703" s="3" t="str">
        <f t="shared" si="52"/>
        <v/>
      </c>
      <c r="G703" s="5" t="str">
        <f t="shared" si="48"/>
        <v/>
      </c>
      <c r="H703" s="5" t="str">
        <f t="shared" si="49"/>
        <v/>
      </c>
    </row>
    <row r="704" spans="1:8" x14ac:dyDescent="0.25">
      <c r="A704" s="1" t="str">
        <f>IF(OR(A703="",F703=0,A703=Refinance_Calculator!$C$16),"",A703+1)</f>
        <v/>
      </c>
      <c r="B704" s="3" t="str">
        <f t="shared" si="50"/>
        <v/>
      </c>
      <c r="C704" s="3" t="str">
        <f>IF(A704="","",(-PMT(Refinance_Calculator!$C$13/12,Refinance_Calculator!$C$16,Full_Report!$B$86,0,0)))</f>
        <v/>
      </c>
      <c r="D704" s="3" t="str">
        <f t="shared" si="51"/>
        <v/>
      </c>
      <c r="E704" s="3" t="str">
        <f>IF(A704="","",(-PPMT(Refinance_Calculator!$C$13/12,Full_Report!A704,Refinance_Calculator!$C$16,Full_Report!$B$86,0,0)))</f>
        <v/>
      </c>
      <c r="F704" s="3" t="str">
        <f t="shared" si="52"/>
        <v/>
      </c>
      <c r="G704" s="5" t="str">
        <f t="shared" si="48"/>
        <v/>
      </c>
      <c r="H704" s="5" t="str">
        <f t="shared" si="49"/>
        <v/>
      </c>
    </row>
    <row r="705" spans="1:8" x14ac:dyDescent="0.25">
      <c r="A705" s="1" t="str">
        <f>IF(OR(A704="",F704=0,A704=Refinance_Calculator!$C$16),"",A704+1)</f>
        <v/>
      </c>
      <c r="B705" s="3" t="str">
        <f t="shared" si="50"/>
        <v/>
      </c>
      <c r="C705" s="3" t="str">
        <f>IF(A705="","",(-PMT(Refinance_Calculator!$C$13/12,Refinance_Calculator!$C$16,Full_Report!$B$86,0,0)))</f>
        <v/>
      </c>
      <c r="D705" s="3" t="str">
        <f t="shared" si="51"/>
        <v/>
      </c>
      <c r="E705" s="3" t="str">
        <f>IF(A705="","",(-PPMT(Refinance_Calculator!$C$13/12,Full_Report!A705,Refinance_Calculator!$C$16,Full_Report!$B$86,0,0)))</f>
        <v/>
      </c>
      <c r="F705" s="3" t="str">
        <f t="shared" si="52"/>
        <v/>
      </c>
      <c r="G705" s="5" t="str">
        <f t="shared" si="48"/>
        <v/>
      </c>
      <c r="H705" s="5" t="str">
        <f t="shared" si="49"/>
        <v/>
      </c>
    </row>
    <row r="706" spans="1:8" x14ac:dyDescent="0.25">
      <c r="A706" s="1" t="str">
        <f>IF(OR(A705="",F705=0,A705=Refinance_Calculator!$C$16),"",A705+1)</f>
        <v/>
      </c>
      <c r="B706" s="3" t="str">
        <f t="shared" si="50"/>
        <v/>
      </c>
      <c r="C706" s="3" t="str">
        <f>IF(A706="","",(-PMT(Refinance_Calculator!$C$13/12,Refinance_Calculator!$C$16,Full_Report!$B$86,0,0)))</f>
        <v/>
      </c>
      <c r="D706" s="3" t="str">
        <f t="shared" si="51"/>
        <v/>
      </c>
      <c r="E706" s="3" t="str">
        <f>IF(A706="","",(-PPMT(Refinance_Calculator!$C$13/12,Full_Report!A706,Refinance_Calculator!$C$16,Full_Report!$B$86,0,0)))</f>
        <v/>
      </c>
      <c r="F706" s="3" t="str">
        <f t="shared" si="52"/>
        <v/>
      </c>
      <c r="G706" s="5" t="str">
        <f t="shared" si="48"/>
        <v/>
      </c>
      <c r="H706" s="5" t="str">
        <f t="shared" si="49"/>
        <v/>
      </c>
    </row>
    <row r="707" spans="1:8" x14ac:dyDescent="0.25">
      <c r="A707" s="1" t="str">
        <f>IF(OR(A706="",F706=0,A706=Refinance_Calculator!$C$16),"",A706+1)</f>
        <v/>
      </c>
      <c r="B707" s="3" t="str">
        <f t="shared" si="50"/>
        <v/>
      </c>
      <c r="C707" s="3" t="str">
        <f>IF(A707="","",(-PMT(Refinance_Calculator!$C$13/12,Refinance_Calculator!$C$16,Full_Report!$B$86,0,0)))</f>
        <v/>
      </c>
      <c r="D707" s="3" t="str">
        <f t="shared" si="51"/>
        <v/>
      </c>
      <c r="E707" s="3" t="str">
        <f>IF(A707="","",(-PPMT(Refinance_Calculator!$C$13/12,Full_Report!A707,Refinance_Calculator!$C$16,Full_Report!$B$86,0,0)))</f>
        <v/>
      </c>
      <c r="F707" s="3" t="str">
        <f t="shared" si="52"/>
        <v/>
      </c>
      <c r="G707" s="5" t="str">
        <f t="shared" si="48"/>
        <v/>
      </c>
      <c r="H707" s="5" t="str">
        <f t="shared" si="49"/>
        <v/>
      </c>
    </row>
    <row r="708" spans="1:8" x14ac:dyDescent="0.25">
      <c r="A708" s="1" t="str">
        <f>IF(OR(A707="",F707=0,A707=Refinance_Calculator!$C$16),"",A707+1)</f>
        <v/>
      </c>
      <c r="B708" s="3" t="str">
        <f t="shared" si="50"/>
        <v/>
      </c>
      <c r="C708" s="3" t="str">
        <f>IF(A708="","",(-PMT(Refinance_Calculator!$C$13/12,Refinance_Calculator!$C$16,Full_Report!$B$86,0,0)))</f>
        <v/>
      </c>
      <c r="D708" s="3" t="str">
        <f t="shared" si="51"/>
        <v/>
      </c>
      <c r="E708" s="3" t="str">
        <f>IF(A708="","",(-PPMT(Refinance_Calculator!$C$13/12,Full_Report!A708,Refinance_Calculator!$C$16,Full_Report!$B$86,0,0)))</f>
        <v/>
      </c>
      <c r="F708" s="3" t="str">
        <f t="shared" si="52"/>
        <v/>
      </c>
      <c r="G708" s="5" t="str">
        <f t="shared" si="48"/>
        <v/>
      </c>
      <c r="H708" s="5" t="str">
        <f t="shared" si="49"/>
        <v/>
      </c>
    </row>
    <row r="709" spans="1:8" x14ac:dyDescent="0.25">
      <c r="A709" s="1" t="str">
        <f>IF(OR(A708="",F708=0,A708=Refinance_Calculator!$C$16),"",A708+1)</f>
        <v/>
      </c>
      <c r="B709" s="3" t="str">
        <f t="shared" si="50"/>
        <v/>
      </c>
      <c r="C709" s="3" t="str">
        <f>IF(A709="","",(-PMT(Refinance_Calculator!$C$13/12,Refinance_Calculator!$C$16,Full_Report!$B$86,0,0)))</f>
        <v/>
      </c>
      <c r="D709" s="3" t="str">
        <f t="shared" si="51"/>
        <v/>
      </c>
      <c r="E709" s="3" t="str">
        <f>IF(A709="","",(-PPMT(Refinance_Calculator!$C$13/12,Full_Report!A709,Refinance_Calculator!$C$16,Full_Report!$B$86,0,0)))</f>
        <v/>
      </c>
      <c r="F709" s="3" t="str">
        <f t="shared" si="52"/>
        <v/>
      </c>
      <c r="G709" s="5" t="str">
        <f t="shared" si="48"/>
        <v/>
      </c>
      <c r="H709" s="5" t="str">
        <f t="shared" si="49"/>
        <v/>
      </c>
    </row>
    <row r="710" spans="1:8" x14ac:dyDescent="0.25">
      <c r="A710" s="1" t="str">
        <f>IF(OR(A709="",F709=0,A709=Refinance_Calculator!$C$16),"",A709+1)</f>
        <v/>
      </c>
      <c r="B710" s="3" t="str">
        <f t="shared" si="50"/>
        <v/>
      </c>
      <c r="C710" s="3" t="str">
        <f>IF(A710="","",(-PMT(Refinance_Calculator!$C$13/12,Refinance_Calculator!$C$16,Full_Report!$B$86,0,0)))</f>
        <v/>
      </c>
      <c r="D710" s="3" t="str">
        <f t="shared" si="51"/>
        <v/>
      </c>
      <c r="E710" s="3" t="str">
        <f>IF(A710="","",(-PPMT(Refinance_Calculator!$C$13/12,Full_Report!A710,Refinance_Calculator!$C$16,Full_Report!$B$86,0,0)))</f>
        <v/>
      </c>
      <c r="F710" s="3" t="str">
        <f t="shared" si="52"/>
        <v/>
      </c>
      <c r="G710" s="5" t="str">
        <f t="shared" si="48"/>
        <v/>
      </c>
      <c r="H710" s="5" t="str">
        <f t="shared" si="49"/>
        <v/>
      </c>
    </row>
    <row r="711" spans="1:8" x14ac:dyDescent="0.25">
      <c r="A711" s="1" t="str">
        <f>IF(OR(A710="",F710=0,A710=Refinance_Calculator!$C$16),"",A710+1)</f>
        <v/>
      </c>
      <c r="B711" s="3" t="str">
        <f t="shared" si="50"/>
        <v/>
      </c>
      <c r="C711" s="3" t="str">
        <f>IF(A711="","",(-PMT(Refinance_Calculator!$C$13/12,Refinance_Calculator!$C$16,Full_Report!$B$86,0,0)))</f>
        <v/>
      </c>
      <c r="D711" s="3" t="str">
        <f t="shared" si="51"/>
        <v/>
      </c>
      <c r="E711" s="3" t="str">
        <f>IF(A711="","",(-PPMT(Refinance_Calculator!$C$13/12,Full_Report!A711,Refinance_Calculator!$C$16,Full_Report!$B$86,0,0)))</f>
        <v/>
      </c>
      <c r="F711" s="3" t="str">
        <f t="shared" si="52"/>
        <v/>
      </c>
      <c r="G711" s="5" t="str">
        <f t="shared" si="48"/>
        <v/>
      </c>
      <c r="H711" s="5" t="str">
        <f t="shared" si="49"/>
        <v/>
      </c>
    </row>
    <row r="712" spans="1:8" x14ac:dyDescent="0.25">
      <c r="A712" s="1" t="str">
        <f>IF(OR(A711="",F711=0,A711=Refinance_Calculator!$C$16),"",A711+1)</f>
        <v/>
      </c>
      <c r="B712" s="3" t="str">
        <f t="shared" si="50"/>
        <v/>
      </c>
      <c r="C712" s="3" t="str">
        <f>IF(A712="","",(-PMT(Refinance_Calculator!$C$13/12,Refinance_Calculator!$C$16,Full_Report!$B$86,0,0)))</f>
        <v/>
      </c>
      <c r="D712" s="3" t="str">
        <f t="shared" si="51"/>
        <v/>
      </c>
      <c r="E712" s="3" t="str">
        <f>IF(A712="","",(-PPMT(Refinance_Calculator!$C$13/12,Full_Report!A712,Refinance_Calculator!$C$16,Full_Report!$B$86,0,0)))</f>
        <v/>
      </c>
      <c r="F712" s="3" t="str">
        <f t="shared" si="52"/>
        <v/>
      </c>
      <c r="G712" s="5" t="str">
        <f t="shared" si="48"/>
        <v/>
      </c>
      <c r="H712" s="5" t="str">
        <f t="shared" si="49"/>
        <v/>
      </c>
    </row>
    <row r="713" spans="1:8" x14ac:dyDescent="0.25">
      <c r="A713" s="1" t="str">
        <f>IF(OR(A712="",F712=0,A712=Refinance_Calculator!$C$16),"",A712+1)</f>
        <v/>
      </c>
      <c r="B713" s="3" t="str">
        <f t="shared" si="50"/>
        <v/>
      </c>
      <c r="C713" s="3" t="str">
        <f>IF(A713="","",(-PMT(Refinance_Calculator!$C$13/12,Refinance_Calculator!$C$16,Full_Report!$B$86,0,0)))</f>
        <v/>
      </c>
      <c r="D713" s="3" t="str">
        <f t="shared" si="51"/>
        <v/>
      </c>
      <c r="E713" s="3" t="str">
        <f>IF(A713="","",(-PPMT(Refinance_Calculator!$C$13/12,Full_Report!A713,Refinance_Calculator!$C$16,Full_Report!$B$86,0,0)))</f>
        <v/>
      </c>
      <c r="F713" s="3" t="str">
        <f t="shared" si="52"/>
        <v/>
      </c>
      <c r="G713" s="5" t="str">
        <f t="shared" si="48"/>
        <v/>
      </c>
      <c r="H713" s="5" t="str">
        <f t="shared" si="49"/>
        <v/>
      </c>
    </row>
    <row r="714" spans="1:8" x14ac:dyDescent="0.25">
      <c r="A714" s="1" t="str">
        <f>IF(OR(A713="",F713=0,A713=Refinance_Calculator!$C$16),"",A713+1)</f>
        <v/>
      </c>
      <c r="B714" s="3" t="str">
        <f t="shared" si="50"/>
        <v/>
      </c>
      <c r="C714" s="3" t="str">
        <f>IF(A714="","",(-PMT(Refinance_Calculator!$C$13/12,Refinance_Calculator!$C$16,Full_Report!$B$86,0,0)))</f>
        <v/>
      </c>
      <c r="D714" s="3" t="str">
        <f t="shared" si="51"/>
        <v/>
      </c>
      <c r="E714" s="3" t="str">
        <f>IF(A714="","",(-PPMT(Refinance_Calculator!$C$13/12,Full_Report!A714,Refinance_Calculator!$C$16,Full_Report!$B$86,0,0)))</f>
        <v/>
      </c>
      <c r="F714" s="3" t="str">
        <f t="shared" si="52"/>
        <v/>
      </c>
      <c r="G714" s="5" t="str">
        <f t="shared" si="48"/>
        <v/>
      </c>
      <c r="H714" s="5" t="str">
        <f t="shared" si="49"/>
        <v/>
      </c>
    </row>
    <row r="715" spans="1:8" x14ac:dyDescent="0.25">
      <c r="A715" s="1" t="str">
        <f>IF(OR(A714="",F714=0,A714=Refinance_Calculator!$C$16),"",A714+1)</f>
        <v/>
      </c>
      <c r="B715" s="3" t="str">
        <f t="shared" si="50"/>
        <v/>
      </c>
      <c r="C715" s="3" t="str">
        <f>IF(A715="","",(-PMT(Refinance_Calculator!$C$13/12,Refinance_Calculator!$C$16,Full_Report!$B$86,0,0)))</f>
        <v/>
      </c>
      <c r="D715" s="3" t="str">
        <f t="shared" si="51"/>
        <v/>
      </c>
      <c r="E715" s="3" t="str">
        <f>IF(A715="","",(-PPMT(Refinance_Calculator!$C$13/12,Full_Report!A715,Refinance_Calculator!$C$16,Full_Report!$B$86,0,0)))</f>
        <v/>
      </c>
      <c r="F715" s="3" t="str">
        <f t="shared" si="52"/>
        <v/>
      </c>
      <c r="G715" s="5" t="str">
        <f t="shared" si="48"/>
        <v/>
      </c>
      <c r="H715" s="5" t="str">
        <f t="shared" si="49"/>
        <v/>
      </c>
    </row>
    <row r="716" spans="1:8" x14ac:dyDescent="0.25">
      <c r="A716" s="1" t="str">
        <f>IF(OR(A715="",F715=0,A715=Refinance_Calculator!$C$16),"",A715+1)</f>
        <v/>
      </c>
      <c r="B716" s="3" t="str">
        <f t="shared" si="50"/>
        <v/>
      </c>
      <c r="C716" s="3" t="str">
        <f>IF(A716="","",(-PMT(Refinance_Calculator!$C$13/12,Refinance_Calculator!$C$16,Full_Report!$B$86,0,0)))</f>
        <v/>
      </c>
      <c r="D716" s="3" t="str">
        <f t="shared" si="51"/>
        <v/>
      </c>
      <c r="E716" s="3" t="str">
        <f>IF(A716="","",(-PPMT(Refinance_Calculator!$C$13/12,Full_Report!A716,Refinance_Calculator!$C$16,Full_Report!$B$86,0,0)))</f>
        <v/>
      </c>
      <c r="F716" s="3" t="str">
        <f t="shared" si="52"/>
        <v/>
      </c>
      <c r="G716" s="5" t="str">
        <f t="shared" si="48"/>
        <v/>
      </c>
      <c r="H716" s="5" t="str">
        <f t="shared" si="49"/>
        <v/>
      </c>
    </row>
  </sheetData>
  <sheetProtection algorithmName="SHA-512" hashValue="1ygaVFvK0WAUKo2ASoOPbME6sJaWgzhxHZ2MpfiZdzBk8BGVFfY4w/tEan8ijbVRw/Axk4olk6IlU6ckW0NHSQ==" saltValue="Vvw3PD8x9MTwYNyCWnz1lQ==" spinCount="100000" sheet="1" objects="1" scenarios="1"/>
  <pageMargins left="0.7" right="0.7" top="0.75" bottom="0.75" header="0.3" footer="0.3"/>
  <pageSetup scale="71"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36819-DFEC-4539-8D61-A924CFC721CB}">
  <sheetPr codeName="Sheet5"/>
  <dimension ref="A1:B39"/>
  <sheetViews>
    <sheetView view="pageBreakPreview" topLeftCell="A13" zoomScale="130" zoomScaleNormal="100" zoomScaleSheetLayoutView="130" workbookViewId="0">
      <selection activeCell="B10" sqref="B10"/>
    </sheetView>
  </sheetViews>
  <sheetFormatPr defaultRowHeight="13.8" x14ac:dyDescent="0.25"/>
  <cols>
    <col min="1" max="1" width="3.6640625" style="57" customWidth="1"/>
    <col min="2" max="2" width="89" style="57" customWidth="1"/>
    <col min="3" max="16384" width="8.88671875" style="1"/>
  </cols>
  <sheetData>
    <row r="1" spans="1:2" ht="33" customHeight="1" x14ac:dyDescent="0.25">
      <c r="A1" s="95" t="s">
        <v>82</v>
      </c>
      <c r="B1" s="95"/>
    </row>
    <row r="3" spans="1:2" x14ac:dyDescent="0.25">
      <c r="A3" s="72" t="s">
        <v>83</v>
      </c>
    </row>
    <row r="5" spans="1:2" ht="41.4" x14ac:dyDescent="0.25">
      <c r="A5" s="71" t="s">
        <v>85</v>
      </c>
      <c r="B5" s="73" t="s">
        <v>91</v>
      </c>
    </row>
    <row r="6" spans="1:2" x14ac:dyDescent="0.25">
      <c r="B6" s="51"/>
    </row>
    <row r="7" spans="1:2" ht="41.4" x14ac:dyDescent="0.25">
      <c r="A7" s="71" t="s">
        <v>86</v>
      </c>
      <c r="B7" s="73" t="s">
        <v>92</v>
      </c>
    </row>
    <row r="8" spans="1:2" x14ac:dyDescent="0.25">
      <c r="B8" s="51"/>
    </row>
    <row r="9" spans="1:2" ht="41.4" x14ac:dyDescent="0.25">
      <c r="A9" s="71" t="s">
        <v>87</v>
      </c>
      <c r="B9" s="73" t="s">
        <v>93</v>
      </c>
    </row>
    <row r="11" spans="1:2" x14ac:dyDescent="0.25">
      <c r="A11" s="72" t="s">
        <v>84</v>
      </c>
    </row>
    <row r="13" spans="1:2" ht="41.4" x14ac:dyDescent="0.25">
      <c r="A13" s="71" t="s">
        <v>85</v>
      </c>
      <c r="B13" s="73" t="s">
        <v>94</v>
      </c>
    </row>
    <row r="14" spans="1:2" x14ac:dyDescent="0.25">
      <c r="B14" s="51"/>
    </row>
    <row r="15" spans="1:2" ht="41.4" x14ac:dyDescent="0.25">
      <c r="A15" s="71" t="s">
        <v>86</v>
      </c>
      <c r="B15" s="73" t="s">
        <v>95</v>
      </c>
    </row>
    <row r="16" spans="1:2" x14ac:dyDescent="0.25">
      <c r="B16" s="51"/>
    </row>
    <row r="17" spans="1:2" ht="55.2" x14ac:dyDescent="0.25">
      <c r="A17" s="71" t="s">
        <v>87</v>
      </c>
      <c r="B17" s="73" t="s">
        <v>96</v>
      </c>
    </row>
    <row r="18" spans="1:2" x14ac:dyDescent="0.25">
      <c r="B18" s="51"/>
    </row>
    <row r="19" spans="1:2" ht="27.6" x14ac:dyDescent="0.25">
      <c r="A19" s="71" t="s">
        <v>88</v>
      </c>
      <c r="B19" s="73" t="s">
        <v>97</v>
      </c>
    </row>
    <row r="20" spans="1:2" x14ac:dyDescent="0.25">
      <c r="B20" s="51"/>
    </row>
    <row r="21" spans="1:2" ht="41.4" x14ac:dyDescent="0.25">
      <c r="A21" s="71" t="s">
        <v>89</v>
      </c>
      <c r="B21" s="73" t="s">
        <v>98</v>
      </c>
    </row>
    <row r="22" spans="1:2" x14ac:dyDescent="0.25">
      <c r="B22" s="51"/>
    </row>
    <row r="23" spans="1:2" ht="55.2" x14ac:dyDescent="0.25">
      <c r="A23" s="71" t="s">
        <v>90</v>
      </c>
      <c r="B23" s="51" t="s">
        <v>99</v>
      </c>
    </row>
    <row r="27" spans="1:2" x14ac:dyDescent="0.25">
      <c r="B27" s="72"/>
    </row>
    <row r="30" spans="1:2" x14ac:dyDescent="0.25">
      <c r="B30" s="72"/>
    </row>
    <row r="33" spans="2:2" x14ac:dyDescent="0.25">
      <c r="B33" s="72"/>
    </row>
    <row r="36" spans="2:2" x14ac:dyDescent="0.25">
      <c r="B36" s="72"/>
    </row>
    <row r="39" spans="2:2" x14ac:dyDescent="0.25">
      <c r="B39" s="72"/>
    </row>
  </sheetData>
  <sheetProtection algorithmName="SHA-512" hashValue="bZPx2c1kp/AUdAfoECrXhol1/hlgufaRA4xHEeE5ur95TQKXZXI7Jj4LXR7wpGso9qsH3vBdkQgpjvFxt5jOvw==" saltValue="7YFPekdEPxP80J/KfMH+Xw==" spinCount="100000" sheet="1" objects="1" scenarios="1"/>
  <mergeCells count="1">
    <mergeCell ref="A1:B1"/>
  </mergeCells>
  <pageMargins left="0.7" right="0.7" top="0.75" bottom="0.75" header="0.3" footer="0.3"/>
  <pageSetup scale="9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Internal Working</vt:lpstr>
      <vt:lpstr>Refinance_Calculator</vt:lpstr>
      <vt:lpstr>Full_Report</vt:lpstr>
      <vt:lpstr>Comments and Remarks</vt:lpstr>
      <vt:lpstr>Refinance_Calculator!Print_Area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Athithyan</dc:creator>
  <cp:lastModifiedBy>VIjay Athithyan</cp:lastModifiedBy>
  <dcterms:created xsi:type="dcterms:W3CDTF">2015-06-05T18:17:20Z</dcterms:created>
  <dcterms:modified xsi:type="dcterms:W3CDTF">2024-11-05T04:06:51Z</dcterms:modified>
</cp:coreProperties>
</file>